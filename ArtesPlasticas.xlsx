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8E5B663-E5A2-48E1-A02C-3A559697BB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" sheetId="8" r:id="rId1"/>
    <sheet name="VM" sheetId="13" state="hidden" r:id="rId2"/>
    <sheet name="VIO" sheetId="14" state="hidden" r:id="rId3"/>
    <sheet name="Consolidado" sheetId="16" state="hidden" r:id="rId4"/>
    <sheet name="TablaConsolidado" sheetId="17" state="hidden" r:id="rId5"/>
    <sheet name="CURSOSXESTUDIANTES" sheetId="18" state="hidden" r:id="rId6"/>
  </sheets>
  <definedNames>
    <definedName name="_xlnm._FilterDatabase" localSheetId="0" hidden="1">AP!$B$4:$Q$23</definedName>
    <definedName name="_xlnm._FilterDatabase" localSheetId="2" hidden="1">VIO!$B$4:$Q$14</definedName>
    <definedName name="_xlnm._FilterDatabase" localSheetId="1" hidden="1">VM!$B$4:$O$9</definedName>
  </definedNames>
  <calcPr calcId="191029"/>
  <pivotCaches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nLYkY3hpLsmTvvwYeqiYjdptPpEryD6ox2ND/50L0mE="/>
    </ext>
  </extLst>
</workbook>
</file>

<file path=xl/calcChain.xml><?xml version="1.0" encoding="utf-8"?>
<calcChain xmlns="http://schemas.openxmlformats.org/spreadsheetml/2006/main">
  <c r="A1" i="16" l="1"/>
  <c r="K18" i="14"/>
  <c r="J18" i="14"/>
  <c r="I18" i="14"/>
  <c r="H18" i="14"/>
  <c r="G18" i="14"/>
  <c r="K17" i="14"/>
  <c r="J17" i="14"/>
  <c r="J19" i="14" s="1"/>
  <c r="I17" i="14"/>
  <c r="I19" i="14" s="1"/>
  <c r="H17" i="14"/>
  <c r="H19" i="14" s="1"/>
  <c r="G17" i="14"/>
  <c r="G19" i="14" s="1"/>
  <c r="K16" i="14"/>
  <c r="K19" i="14" s="1"/>
  <c r="J16" i="14"/>
  <c r="I16" i="14"/>
  <c r="H16" i="14"/>
  <c r="G16" i="14"/>
  <c r="K15" i="14"/>
  <c r="J15" i="14"/>
  <c r="I15" i="14"/>
  <c r="H15" i="14"/>
  <c r="G15" i="14"/>
  <c r="L14" i="14"/>
  <c r="L13" i="14"/>
  <c r="L12" i="14"/>
  <c r="L11" i="14"/>
  <c r="L10" i="14"/>
  <c r="L9" i="14"/>
  <c r="L8" i="14"/>
  <c r="L7" i="14"/>
  <c r="L6" i="14"/>
  <c r="L5" i="14"/>
  <c r="J13" i="13"/>
  <c r="I13" i="13"/>
  <c r="H13" i="13"/>
  <c r="G13" i="13"/>
  <c r="J12" i="13"/>
  <c r="I12" i="13"/>
  <c r="H12" i="13"/>
  <c r="G12" i="13"/>
  <c r="J11" i="13"/>
  <c r="I11" i="13"/>
  <c r="H11" i="13"/>
  <c r="G11" i="13"/>
  <c r="J10" i="13"/>
  <c r="J14" i="13" s="1"/>
  <c r="I10" i="13"/>
  <c r="I14" i="13" s="1"/>
  <c r="H10" i="13"/>
  <c r="H14" i="13" s="1"/>
  <c r="G10" i="13"/>
  <c r="G14" i="13" s="1"/>
  <c r="K9" i="13"/>
  <c r="K8" i="13"/>
  <c r="K7" i="13"/>
  <c r="K6" i="13"/>
  <c r="K5" i="13"/>
  <c r="P22" i="8"/>
  <c r="H21" i="8"/>
  <c r="H20" i="8"/>
  <c r="P16" i="8"/>
  <c r="H13" i="8"/>
  <c r="P12" i="8"/>
  <c r="H10" i="8"/>
  <c r="H7" i="8"/>
  <c r="P6" i="8"/>
  <c r="H5" i="8"/>
</calcChain>
</file>

<file path=xl/sharedStrings.xml><?xml version="1.0" encoding="utf-8"?>
<sst xmlns="http://schemas.openxmlformats.org/spreadsheetml/2006/main" count="229" uniqueCount="76">
  <si>
    <t xml:space="preserve">  </t>
  </si>
  <si>
    <t>CANTO</t>
  </si>
  <si>
    <t>#</t>
  </si>
  <si>
    <t>Nombre completo</t>
  </si>
  <si>
    <t>Nivel</t>
  </si>
  <si>
    <t>Estado</t>
  </si>
  <si>
    <t>Notas</t>
  </si>
  <si>
    <t>Acum.</t>
  </si>
  <si>
    <t>Ex. Prá.</t>
  </si>
  <si>
    <t>Ex. Teó.</t>
  </si>
  <si>
    <t>Nota Final</t>
  </si>
  <si>
    <t>A</t>
  </si>
  <si>
    <t>I</t>
  </si>
  <si>
    <t>K</t>
  </si>
  <si>
    <t>PIANO</t>
  </si>
  <si>
    <t>✓</t>
  </si>
  <si>
    <t>1</t>
  </si>
  <si>
    <t>GUITARRA</t>
  </si>
  <si>
    <t>Maite Victoria Sequeira Matus</t>
  </si>
  <si>
    <t>Valerie López Muñoz</t>
  </si>
  <si>
    <t>BATERÍA</t>
  </si>
  <si>
    <t>BAJO</t>
  </si>
  <si>
    <t xml:space="preserve"> </t>
  </si>
  <si>
    <t>SONIDO</t>
  </si>
  <si>
    <t>DANZA</t>
  </si>
  <si>
    <t>ARTES PLÁSTICAS</t>
  </si>
  <si>
    <t>Artes Plásticas Kids</t>
  </si>
  <si>
    <t>Artes Plásticas Básico</t>
  </si>
  <si>
    <t>Artes Plásticas Intermedio</t>
  </si>
  <si>
    <t>Adaia Analía Flores Ponce</t>
  </si>
  <si>
    <t>Alice Rodríguez Obando</t>
  </si>
  <si>
    <t>André Josué Flores Ponce</t>
  </si>
  <si>
    <t>Andrea Valentina Jara Urbina</t>
  </si>
  <si>
    <t>Avril Isabela Zoto Hernández</t>
  </si>
  <si>
    <t>Carlos Omar Carrillo Soto</t>
  </si>
  <si>
    <t>Daisy Nahomi Martínez Espinoza</t>
  </si>
  <si>
    <t>Gloria Alejandra Lacayo Sánchez</t>
  </si>
  <si>
    <t>Isaac Jeremías Pérez Narváez</t>
  </si>
  <si>
    <t>Jamy Ocón Solís</t>
  </si>
  <si>
    <t>Josué Jean-Baptiste Herradora Castro</t>
  </si>
  <si>
    <t>Karla Johanna Saravia Gaitán</t>
  </si>
  <si>
    <t>Lidia Raquel Moreno Castrillo</t>
  </si>
  <si>
    <t>Decidió irse a guitarra</t>
  </si>
  <si>
    <t>Minerva Argentina Guitierrez Arguello</t>
  </si>
  <si>
    <t>Natán Ismael Mercado Valerio</t>
  </si>
  <si>
    <t>Sara Denisse García Morales</t>
  </si>
  <si>
    <t>Yolaina Lorena Salazar Cuadra</t>
  </si>
  <si>
    <t>IDIOMAS</t>
  </si>
  <si>
    <t>Marzo</t>
  </si>
  <si>
    <t>Abril</t>
  </si>
  <si>
    <t>DEPORTES</t>
  </si>
  <si>
    <t>VIENTO METAL</t>
  </si>
  <si>
    <t>Edad</t>
  </si>
  <si>
    <t>Celular</t>
  </si>
  <si>
    <t>Localidad/Filial</t>
  </si>
  <si>
    <t>Inasistencias</t>
  </si>
  <si>
    <t>Mensualidad</t>
  </si>
  <si>
    <t>Presentes</t>
  </si>
  <si>
    <t>Justificados</t>
  </si>
  <si>
    <t>Tardíos</t>
  </si>
  <si>
    <t>Ausentes</t>
  </si>
  <si>
    <t>Total</t>
  </si>
  <si>
    <t>VIOLÍN</t>
  </si>
  <si>
    <t>Código</t>
  </si>
  <si>
    <t>Ossiel Noelia Luna Osorio</t>
  </si>
  <si>
    <t>Nivel 1</t>
  </si>
  <si>
    <t>Central</t>
  </si>
  <si>
    <t>B</t>
  </si>
  <si>
    <t xml:space="preserve">COUNTA of  </t>
  </si>
  <si>
    <t>CANTIDAD DE ESTUDIANTES POR CURSOS</t>
  </si>
  <si>
    <t>EMOCIONES</t>
  </si>
  <si>
    <t>EMP. Y LID.</t>
  </si>
  <si>
    <t xml:space="preserve"> 2</t>
  </si>
  <si>
    <t>#VALUE!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</si>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</sst>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,\+\50\5#########"/>
    <numFmt numFmtId="165" formatCode="\,\+\50\5########"/>
  </numFmts>
  <fonts count="7" x14ac:knownFonts="1">
    <font>
      <sz val="12"/>
      <color theme="1"/>
      <name val="Arial"/>
      <scheme val="minor"/>
    </font>
    <font>
      <b/>
      <sz val="11"/>
      <color theme="1"/>
      <name val="Arial"/>
    </font>
    <font>
      <sz val="12"/>
      <name val="Arial"/>
    </font>
    <font>
      <sz val="11"/>
      <color theme="1"/>
      <name val="Arial"/>
    </font>
    <font>
      <sz val="11"/>
      <color rgb="FF000000"/>
      <name val="Arial"/>
    </font>
    <font>
      <b/>
      <sz val="12"/>
      <color theme="1"/>
      <name val="Arial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49" fontId="1" fillId="0" borderId="1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1" fontId="1" fillId="0" borderId="16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3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3" fontId="1" fillId="0" borderId="15" xfId="0" applyNumberFormat="1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3" fontId="1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3" fillId="0" borderId="29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" fontId="3" fillId="0" borderId="26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65" fontId="3" fillId="0" borderId="25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6" fillId="0" borderId="0" xfId="0" applyFont="1"/>
    <xf numFmtId="0" fontId="6" fillId="0" borderId="32" xfId="0" applyFont="1" applyBorder="1"/>
    <xf numFmtId="0" fontId="6" fillId="0" borderId="30" xfId="0" applyFont="1" applyBorder="1"/>
    <xf numFmtId="0" fontId="6" fillId="0" borderId="15" xfId="0" applyFont="1" applyBorder="1"/>
    <xf numFmtId="0" fontId="6" fillId="0" borderId="0" xfId="0" applyFont="1" applyAlignment="1">
      <alignment horizontal="center"/>
    </xf>
    <xf numFmtId="0" fontId="0" fillId="0" borderId="36" xfId="0" pivotButton="1" applyBorder="1"/>
    <xf numFmtId="0" fontId="0" fillId="0" borderId="37" xfId="0" applyBorder="1"/>
    <xf numFmtId="0" fontId="0" fillId="0" borderId="36" xfId="0" applyBorder="1"/>
    <xf numFmtId="0" fontId="0" fillId="0" borderId="38" xfId="0" applyBorder="1"/>
    <xf numFmtId="0" fontId="0" fillId="0" borderId="39" xfId="0" applyBorder="1"/>
    <xf numFmtId="0" fontId="1" fillId="0" borderId="9" xfId="0" applyFont="1" applyBorder="1" applyAlignment="1">
      <alignment horizontal="center" vertical="center"/>
    </xf>
    <xf numFmtId="0" fontId="2" fillId="0" borderId="18" xfId="0" applyFont="1" applyBorder="1"/>
    <xf numFmtId="0" fontId="1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6" xfId="0" applyFont="1" applyBorder="1" applyAlignment="1">
      <alignment horizontal="center" vertical="center"/>
    </xf>
    <xf numFmtId="0" fontId="2" fillId="0" borderId="10" xfId="0" applyFont="1" applyBorder="1"/>
    <xf numFmtId="0" fontId="1" fillId="0" borderId="7" xfId="0" applyFont="1" applyBorder="1" applyAlignment="1">
      <alignment horizontal="center" vertical="center"/>
    </xf>
    <xf numFmtId="0" fontId="2" fillId="0" borderId="11" xfId="0" applyFont="1" applyBorder="1"/>
    <xf numFmtId="49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2" xfId="0" applyFont="1" applyBorder="1"/>
    <xf numFmtId="0" fontId="1" fillId="0" borderId="16" xfId="0" applyFont="1" applyBorder="1" applyAlignment="1">
      <alignment horizontal="center" vertical="center"/>
    </xf>
    <xf numFmtId="0" fontId="2" fillId="0" borderId="32" xfId="0" applyFont="1" applyBorder="1"/>
    <xf numFmtId="0" fontId="1" fillId="0" borderId="7" xfId="0" applyFont="1" applyBorder="1" applyAlignment="1">
      <alignment horizontal="center" vertical="center" wrapText="1"/>
    </xf>
    <xf numFmtId="0" fontId="2" fillId="0" borderId="30" xfId="0" applyFont="1" applyBorder="1"/>
    <xf numFmtId="0" fontId="1" fillId="0" borderId="21" xfId="0" applyFont="1" applyBorder="1" applyAlignment="1">
      <alignment horizontal="center" vertical="center"/>
    </xf>
    <xf numFmtId="0" fontId="2" fillId="0" borderId="13" xfId="0" applyFont="1" applyBorder="1"/>
    <xf numFmtId="0" fontId="6" fillId="0" borderId="16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0" fillId="0" borderId="36" xfId="0" applyNumberFormat="1" applyBorder="1"/>
    <xf numFmtId="0" fontId="0" fillId="0" borderId="38" xfId="0" applyNumberFormat="1" applyBorder="1"/>
    <xf numFmtId="0" fontId="0" fillId="0" borderId="39" xfId="0" applyNumberFormat="1" applyBorder="1"/>
    <xf numFmtId="0" fontId="0" fillId="0" borderId="4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23" Type="http://customschemas.google.com/relationships/workbookmetadata" Target="metadata"/><Relationship Id="rId4" Type="http://schemas.openxmlformats.org/officeDocument/2006/relationships/worksheet" Target="worksheets/sheet4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" refreshedDate="46210.508705787041" refreshedVersion="8" recordCount="1" xr:uid="{00000000-000A-0000-FFFF-FFFF00000000}">
  <cacheSource type="worksheet">
    <worksheetSource ref="A1:C320" sheet="Consolidado"/>
  </cacheSource>
  <cacheFields count="3">
    <cacheField name="#VALUE!" numFmtId="0">
      <sharedItems containsNonDate="0" containsString="0" containsBlank="1" count="1">
        <m/>
      </sharedItems>
    </cacheField>
    <cacheField name=" " numFmtId="0">
      <sharedItems containsNonDate="0" containsString="0" containsBlank="1"/>
    </cacheField>
    <cacheField name=" 2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laConsolidado" cacheId="11" applyNumberFormats="0" applyBorderFormats="0" applyFontFormats="0" applyPatternFormats="0" applyAlignmentFormats="0" applyWidthHeightFormats="0" dataCaption="" updatedVersion="8" compact="0" compactData="0">
  <location ref="A1:C4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COUNTA of 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5000000}" name="CURSOSXESTUDIANTES 10" cacheId="11" applyNumberFormats="0" applyBorderFormats="0" applyFontFormats="0" applyPatternFormats="0" applyAlignmentFormats="0" applyWidthHeightFormats="0" dataCaption="" updatedVersion="8" compact="0" compactData="0">
  <location ref="G34:I37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A000000}" name="CURSOSXESTUDIANTES 3" cacheId="11" applyNumberFormats="0" applyBorderFormats="0" applyFontFormats="0" applyPatternFormats="0" applyAlignmentFormats="0" applyWidthHeightFormats="0" dataCaption="" updatedVersion="8" compact="0" compactData="0">
  <location ref="A13:C16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4000000}" name="CURSOSXESTUDIANTES 5" cacheId="11" applyNumberFormats="0" applyBorderFormats="0" applyFontFormats="0" applyPatternFormats="0" applyAlignmentFormats="0" applyWidthHeightFormats="0" dataCaption="" updatedVersion="8" compact="0" compactData="0">
  <location ref="A20:C23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9000000}" name="CURSOSXESTUDIANTES 8" cacheId="11" applyNumberFormats="0" applyBorderFormats="0" applyFontFormats="0" applyPatternFormats="0" applyAlignmentFormats="0" applyWidthHeightFormats="0" dataCaption="" updatedVersion="8" compact="0" compactData="0">
  <location ref="G27:I30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3000000}" name="CURSOSXESTUDIANTES 6" cacheId="11" applyNumberFormats="0" applyBorderFormats="0" applyFontFormats="0" applyPatternFormats="0" applyAlignmentFormats="0" applyWidthHeightFormats="0" dataCaption="" updatedVersion="8" compact="0" compactData="0">
  <location ref="G20:I23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8000000}" name="CURSOSXESTUDIANTES 13" cacheId="11" applyNumberFormats="0" applyBorderFormats="0" applyFontFormats="0" applyPatternFormats="0" applyAlignmentFormats="0" applyWidthHeightFormats="0" dataCaption="" updatedVersion="8" compact="0" compactData="0">
  <location ref="A48:C51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D000000}" name="CURSOSXESTUDIANTES 2" cacheId="11" applyNumberFormats="0" applyBorderFormats="0" applyFontFormats="0" applyPatternFormats="0" applyAlignmentFormats="0" applyWidthHeightFormats="0" dataCaption="" updatedVersion="8" compact="0" compactData="0">
  <location ref="G5:I8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C000000}" name="CURSOSXESTUDIANTES 7" cacheId="11" applyNumberFormats="0" applyBorderFormats="0" applyFontFormats="0" applyPatternFormats="0" applyAlignmentFormats="0" applyWidthHeightFormats="0" dataCaption="" updatedVersion="8" compact="0" compactData="0">
  <location ref="A27:C30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2000000}" name="CURSOSXESTUDIANTES" cacheId="11" applyNumberFormats="0" applyBorderFormats="0" applyFontFormats="0" applyPatternFormats="0" applyAlignmentFormats="0" applyWidthHeightFormats="0" dataCaption="" updatedVersion="8" compact="0" compactData="0">
  <location ref="A5:C8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7000000}" name="CURSOSXESTUDIANTES 9" cacheId="11" applyNumberFormats="0" applyBorderFormats="0" applyFontFormats="0" applyPatternFormats="0" applyAlignmentFormats="0" applyWidthHeightFormats="0" dataCaption="" updatedVersion="8" compact="0" compactData="0">
  <location ref="A34:C37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B000000}" name="CURSOSXESTUDIANTES 12" cacheId="11" applyNumberFormats="0" applyBorderFormats="0" applyFontFormats="0" applyPatternFormats="0" applyAlignmentFormats="0" applyWidthHeightFormats="0" dataCaption="" updatedVersion="8" compact="0" compactData="0">
  <location ref="G41:I44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1000000}" name="CURSOSXESTUDIANTES 11" cacheId="11" applyNumberFormats="0" applyBorderFormats="0" applyFontFormats="0" applyPatternFormats="0" applyAlignmentFormats="0" applyWidthHeightFormats="0" dataCaption="" updatedVersion="8" compact="0" compactData="0">
  <location ref="A41:C44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6000000}" name="CURSOSXESTUDIANTES 4" cacheId="11" applyNumberFormats="0" applyBorderFormats="0" applyFontFormats="0" applyPatternFormats="0" applyAlignmentFormats="0" applyWidthHeightFormats="0" dataCaption="" updatedVersion="8" compact="0" compactData="0">
  <location ref="G13:I16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EA9999"/>
  </sheetPr>
  <dimension ref="A1:Q891"/>
  <sheetViews>
    <sheetView tabSelected="1" topLeftCell="A13" workbookViewId="0">
      <selection sqref="A1:B1"/>
    </sheetView>
  </sheetViews>
  <sheetFormatPr defaultColWidth="10.07421875" defaultRowHeight="15" customHeight="1" x14ac:dyDescent="0.35"/>
  <cols>
    <col min="1" max="1" width="3.23046875" customWidth="1"/>
    <col min="2" max="2" width="25.765625" customWidth="1"/>
    <col min="3" max="3" width="6.3828125" customWidth="1"/>
    <col min="4" max="4" width="5.921875" customWidth="1"/>
    <col min="5" max="5" width="5.3046875" customWidth="1"/>
    <col min="6" max="6" width="6.23046875" customWidth="1"/>
    <col min="7" max="7" width="6.3046875" customWidth="1"/>
    <col min="8" max="8" width="7.921875" customWidth="1"/>
    <col min="9" max="9" width="5.3046875" customWidth="1"/>
    <col min="10" max="10" width="6.23046875" customWidth="1"/>
    <col min="11" max="11" width="6.3046875" customWidth="1"/>
    <col min="12" max="12" width="7.921875" customWidth="1"/>
    <col min="13" max="13" width="5.3046875" customWidth="1"/>
    <col min="14" max="14" width="6.23046875" customWidth="1"/>
    <col min="15" max="15" width="6.3046875" customWidth="1"/>
    <col min="16" max="16" width="7.921875" customWidth="1"/>
    <col min="17" max="17" width="11.3046875" customWidth="1"/>
  </cols>
  <sheetData>
    <row r="1" spans="1:17" ht="18.75" customHeight="1" x14ac:dyDescent="0.35">
      <c r="A1" s="99" t="s">
        <v>0</v>
      </c>
      <c r="B1" s="100"/>
      <c r="C1" s="95" t="s">
        <v>25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7"/>
    </row>
    <row r="2" spans="1:17" ht="15.5" x14ac:dyDescent="0.35">
      <c r="A2" s="101" t="s">
        <v>2</v>
      </c>
      <c r="B2" s="103" t="s">
        <v>3</v>
      </c>
      <c r="C2" s="105" t="s">
        <v>4</v>
      </c>
      <c r="D2" s="106" t="s">
        <v>5</v>
      </c>
      <c r="E2" s="98" t="s">
        <v>26</v>
      </c>
      <c r="F2" s="96"/>
      <c r="G2" s="96"/>
      <c r="H2" s="97"/>
      <c r="I2" s="98" t="s">
        <v>27</v>
      </c>
      <c r="J2" s="96"/>
      <c r="K2" s="96"/>
      <c r="L2" s="97"/>
      <c r="M2" s="98" t="s">
        <v>28</v>
      </c>
      <c r="N2" s="96"/>
      <c r="O2" s="96"/>
      <c r="P2" s="97"/>
      <c r="Q2" s="93" t="s">
        <v>6</v>
      </c>
    </row>
    <row r="3" spans="1:17" ht="14.25" customHeight="1" x14ac:dyDescent="0.35">
      <c r="A3" s="102"/>
      <c r="B3" s="104"/>
      <c r="C3" s="104"/>
      <c r="D3" s="107"/>
      <c r="E3" s="1" t="s">
        <v>7</v>
      </c>
      <c r="F3" s="2" t="s">
        <v>8</v>
      </c>
      <c r="G3" s="2" t="s">
        <v>9</v>
      </c>
      <c r="H3" s="4" t="s">
        <v>10</v>
      </c>
      <c r="I3" s="1" t="s">
        <v>7</v>
      </c>
      <c r="J3" s="2" t="s">
        <v>8</v>
      </c>
      <c r="K3" s="2" t="s">
        <v>9</v>
      </c>
      <c r="L3" s="4" t="s">
        <v>10</v>
      </c>
      <c r="M3" s="1" t="s">
        <v>7</v>
      </c>
      <c r="N3" s="2" t="s">
        <v>8</v>
      </c>
      <c r="O3" s="2" t="s">
        <v>9</v>
      </c>
      <c r="P3" s="4" t="s">
        <v>10</v>
      </c>
      <c r="Q3" s="94"/>
    </row>
    <row r="4" spans="1:17" ht="12" customHeight="1" x14ac:dyDescent="0.35">
      <c r="A4" s="5"/>
      <c r="B4" s="6"/>
      <c r="C4" s="7"/>
      <c r="D4" s="8"/>
      <c r="E4" s="1"/>
      <c r="F4" s="2"/>
      <c r="G4" s="2"/>
      <c r="H4" s="4"/>
      <c r="I4" s="9"/>
      <c r="J4" s="3"/>
      <c r="K4" s="3"/>
      <c r="L4" s="4"/>
      <c r="M4" s="9"/>
      <c r="N4" s="3"/>
      <c r="O4" s="3"/>
      <c r="P4" s="4"/>
      <c r="Q4" s="53"/>
    </row>
    <row r="5" spans="1:17" ht="22.5" customHeight="1" x14ac:dyDescent="0.35">
      <c r="A5" s="10">
        <v>1</v>
      </c>
      <c r="B5" s="42" t="s">
        <v>29</v>
      </c>
      <c r="C5" s="7" t="s">
        <v>13</v>
      </c>
      <c r="D5" s="12" t="s">
        <v>11</v>
      </c>
      <c r="E5" s="1"/>
      <c r="F5" s="2">
        <v>90</v>
      </c>
      <c r="G5" s="2"/>
      <c r="H5" s="4">
        <f>SUM(E5:G5)</f>
        <v>90</v>
      </c>
      <c r="I5" s="26"/>
      <c r="J5" s="24"/>
      <c r="K5" s="24"/>
      <c r="L5" s="25"/>
      <c r="M5" s="26"/>
      <c r="N5" s="24"/>
      <c r="O5" s="24"/>
      <c r="P5" s="25"/>
      <c r="Q5" s="48"/>
    </row>
    <row r="6" spans="1:17" ht="22.5" customHeight="1" x14ac:dyDescent="0.35">
      <c r="A6" s="10">
        <v>2</v>
      </c>
      <c r="B6" s="6" t="s">
        <v>30</v>
      </c>
      <c r="C6" s="43">
        <v>2</v>
      </c>
      <c r="D6" s="12" t="s">
        <v>11</v>
      </c>
      <c r="E6" s="19"/>
      <c r="F6" s="20"/>
      <c r="G6" s="20"/>
      <c r="H6" s="21"/>
      <c r="I6" s="17"/>
      <c r="J6" s="18"/>
      <c r="K6" s="18"/>
      <c r="L6" s="21"/>
      <c r="M6" s="15"/>
      <c r="N6" s="16">
        <v>90</v>
      </c>
      <c r="O6" s="16"/>
      <c r="P6" s="14">
        <f>SUM(M6:O6)</f>
        <v>90</v>
      </c>
      <c r="Q6" s="53"/>
    </row>
    <row r="7" spans="1:17" ht="22.5" customHeight="1" x14ac:dyDescent="0.35">
      <c r="A7" s="10">
        <v>3</v>
      </c>
      <c r="B7" s="11" t="s">
        <v>31</v>
      </c>
      <c r="C7" s="7" t="s">
        <v>13</v>
      </c>
      <c r="D7" s="12" t="s">
        <v>11</v>
      </c>
      <c r="E7" s="10"/>
      <c r="F7" s="13">
        <v>90</v>
      </c>
      <c r="G7" s="13"/>
      <c r="H7" s="4">
        <f>SUM(E7:G7)</f>
        <v>90</v>
      </c>
      <c r="I7" s="26"/>
      <c r="J7" s="24"/>
      <c r="K7" s="24"/>
      <c r="L7" s="25"/>
      <c r="M7" s="26"/>
      <c r="N7" s="24"/>
      <c r="O7" s="24"/>
      <c r="P7" s="25"/>
      <c r="Q7" s="49"/>
    </row>
    <row r="8" spans="1:17" ht="22.5" hidden="1" customHeight="1" x14ac:dyDescent="0.35">
      <c r="A8" s="10">
        <v>4</v>
      </c>
      <c r="B8" s="6" t="s">
        <v>32</v>
      </c>
      <c r="C8" s="7" t="s">
        <v>13</v>
      </c>
      <c r="D8" s="12" t="s">
        <v>12</v>
      </c>
      <c r="E8" s="10"/>
      <c r="F8" s="13"/>
      <c r="G8" s="13"/>
      <c r="H8" s="14"/>
      <c r="I8" s="15"/>
      <c r="J8" s="16"/>
      <c r="K8" s="16"/>
      <c r="L8" s="14"/>
      <c r="M8" s="15"/>
      <c r="N8" s="16"/>
      <c r="O8" s="16"/>
      <c r="P8" s="14"/>
      <c r="Q8" s="48"/>
    </row>
    <row r="9" spans="1:17" ht="22.5" customHeight="1" x14ac:dyDescent="0.35">
      <c r="A9" s="10">
        <v>4</v>
      </c>
      <c r="B9" s="11" t="s">
        <v>33</v>
      </c>
      <c r="C9" s="43">
        <v>1</v>
      </c>
      <c r="D9" s="12" t="s">
        <v>11</v>
      </c>
      <c r="E9" s="19"/>
      <c r="F9" s="20"/>
      <c r="G9" s="20"/>
      <c r="H9" s="21"/>
      <c r="I9" s="15"/>
      <c r="J9" s="16">
        <v>85</v>
      </c>
      <c r="K9" s="16"/>
      <c r="L9" s="14"/>
      <c r="M9" s="17"/>
      <c r="N9" s="18"/>
      <c r="O9" s="18"/>
      <c r="P9" s="21"/>
      <c r="Q9" s="48"/>
    </row>
    <row r="10" spans="1:17" ht="22.5" customHeight="1" x14ac:dyDescent="0.35">
      <c r="A10" s="10">
        <v>5</v>
      </c>
      <c r="B10" s="11" t="s">
        <v>34</v>
      </c>
      <c r="C10" s="7" t="s">
        <v>13</v>
      </c>
      <c r="D10" s="12" t="s">
        <v>11</v>
      </c>
      <c r="E10" s="10"/>
      <c r="F10" s="13">
        <v>85</v>
      </c>
      <c r="G10" s="13"/>
      <c r="H10" s="4">
        <f>SUM(E10:G10)</f>
        <v>85</v>
      </c>
      <c r="I10" s="26"/>
      <c r="J10" s="24"/>
      <c r="K10" s="24"/>
      <c r="L10" s="25"/>
      <c r="M10" s="26"/>
      <c r="N10" s="24"/>
      <c r="O10" s="24"/>
      <c r="P10" s="25"/>
      <c r="Q10" s="53"/>
    </row>
    <row r="11" spans="1:17" ht="22.5" customHeight="1" x14ac:dyDescent="0.35">
      <c r="A11" s="10">
        <v>6</v>
      </c>
      <c r="B11" s="6" t="s">
        <v>35</v>
      </c>
      <c r="C11" s="43">
        <v>1</v>
      </c>
      <c r="D11" s="12" t="s">
        <v>11</v>
      </c>
      <c r="E11" s="19"/>
      <c r="F11" s="20"/>
      <c r="G11" s="20"/>
      <c r="H11" s="21"/>
      <c r="I11" s="15"/>
      <c r="J11" s="16">
        <v>0</v>
      </c>
      <c r="K11" s="16"/>
      <c r="L11" s="14"/>
      <c r="M11" s="17"/>
      <c r="N11" s="18"/>
      <c r="O11" s="18"/>
      <c r="P11" s="21"/>
      <c r="Q11" s="53"/>
    </row>
    <row r="12" spans="1:17" ht="22.5" customHeight="1" x14ac:dyDescent="0.35">
      <c r="A12" s="10">
        <v>7</v>
      </c>
      <c r="B12" s="6" t="s">
        <v>36</v>
      </c>
      <c r="C12" s="43">
        <v>2</v>
      </c>
      <c r="D12" s="12" t="s">
        <v>11</v>
      </c>
      <c r="E12" s="19"/>
      <c r="F12" s="20"/>
      <c r="G12" s="20"/>
      <c r="H12" s="21"/>
      <c r="I12" s="17"/>
      <c r="J12" s="18"/>
      <c r="K12" s="18"/>
      <c r="L12" s="21"/>
      <c r="M12" s="15"/>
      <c r="N12" s="16">
        <v>70</v>
      </c>
      <c r="O12" s="16"/>
      <c r="P12" s="14">
        <f>SUM(M12:O12)</f>
        <v>70</v>
      </c>
      <c r="Q12" s="53"/>
    </row>
    <row r="13" spans="1:17" ht="22.5" customHeight="1" x14ac:dyDescent="0.35">
      <c r="A13" s="10">
        <v>8</v>
      </c>
      <c r="B13" s="6" t="s">
        <v>37</v>
      </c>
      <c r="C13" s="7" t="s">
        <v>13</v>
      </c>
      <c r="D13" s="12" t="s">
        <v>11</v>
      </c>
      <c r="E13" s="10"/>
      <c r="F13" s="13">
        <v>0</v>
      </c>
      <c r="G13" s="13"/>
      <c r="H13" s="4">
        <f>SUM(E13:G13)</f>
        <v>0</v>
      </c>
      <c r="I13" s="26"/>
      <c r="J13" s="24"/>
      <c r="K13" s="24"/>
      <c r="L13" s="25"/>
      <c r="M13" s="26"/>
      <c r="N13" s="24"/>
      <c r="O13" s="24"/>
      <c r="P13" s="25"/>
      <c r="Q13" s="48"/>
    </row>
    <row r="14" spans="1:17" ht="22.5" hidden="1" customHeight="1" x14ac:dyDescent="0.35">
      <c r="A14" s="10">
        <v>10</v>
      </c>
      <c r="B14" s="11" t="s">
        <v>38</v>
      </c>
      <c r="C14" s="7" t="s">
        <v>16</v>
      </c>
      <c r="D14" s="12" t="s">
        <v>12</v>
      </c>
      <c r="E14" s="10"/>
      <c r="F14" s="13"/>
      <c r="G14" s="13"/>
      <c r="H14" s="14"/>
      <c r="I14" s="15"/>
      <c r="J14" s="16"/>
      <c r="K14" s="16"/>
      <c r="L14" s="14"/>
      <c r="M14" s="15"/>
      <c r="N14" s="16"/>
      <c r="O14" s="16"/>
      <c r="P14" s="14"/>
      <c r="Q14" s="48"/>
    </row>
    <row r="15" spans="1:17" ht="22.5" hidden="1" customHeight="1" x14ac:dyDescent="0.35">
      <c r="A15" s="10">
        <v>11</v>
      </c>
      <c r="B15" s="6" t="s">
        <v>39</v>
      </c>
      <c r="C15" s="7" t="s">
        <v>16</v>
      </c>
      <c r="D15" s="12" t="s">
        <v>12</v>
      </c>
      <c r="E15" s="10"/>
      <c r="F15" s="13"/>
      <c r="G15" s="13"/>
      <c r="H15" s="14"/>
      <c r="I15" s="15"/>
      <c r="J15" s="16"/>
      <c r="K15" s="16"/>
      <c r="L15" s="14"/>
      <c r="M15" s="15"/>
      <c r="N15" s="16"/>
      <c r="O15" s="16"/>
      <c r="P15" s="14"/>
      <c r="Q15" s="48"/>
    </row>
    <row r="16" spans="1:17" ht="22.5" customHeight="1" x14ac:dyDescent="0.35">
      <c r="A16" s="10">
        <v>9</v>
      </c>
      <c r="B16" s="27" t="s">
        <v>40</v>
      </c>
      <c r="C16" s="43">
        <v>2</v>
      </c>
      <c r="D16" s="12" t="s">
        <v>11</v>
      </c>
      <c r="E16" s="19"/>
      <c r="F16" s="20"/>
      <c r="G16" s="20"/>
      <c r="H16" s="21"/>
      <c r="I16" s="17"/>
      <c r="J16" s="18"/>
      <c r="K16" s="18"/>
      <c r="L16" s="21"/>
      <c r="M16" s="15"/>
      <c r="N16" s="16">
        <v>85</v>
      </c>
      <c r="O16" s="16"/>
      <c r="P16" s="14">
        <f>SUM(M16:O16)</f>
        <v>85</v>
      </c>
      <c r="Q16" s="48"/>
    </row>
    <row r="17" spans="1:17" ht="22.5" hidden="1" customHeight="1" x14ac:dyDescent="0.35">
      <c r="A17" s="10">
        <v>13</v>
      </c>
      <c r="B17" s="6" t="s">
        <v>41</v>
      </c>
      <c r="C17" s="7" t="s">
        <v>16</v>
      </c>
      <c r="D17" s="12" t="s">
        <v>12</v>
      </c>
      <c r="E17" s="10"/>
      <c r="F17" s="13"/>
      <c r="G17" s="13"/>
      <c r="H17" s="14"/>
      <c r="I17" s="15"/>
      <c r="J17" s="16"/>
      <c r="K17" s="16"/>
      <c r="L17" s="14"/>
      <c r="M17" s="15"/>
      <c r="N17" s="16"/>
      <c r="O17" s="16"/>
      <c r="P17" s="14"/>
      <c r="Q17" s="53"/>
    </row>
    <row r="18" spans="1:17" ht="22.5" hidden="1" customHeight="1" x14ac:dyDescent="0.35">
      <c r="A18" s="10">
        <v>14</v>
      </c>
      <c r="B18" s="6" t="s">
        <v>18</v>
      </c>
      <c r="C18" s="7" t="s">
        <v>16</v>
      </c>
      <c r="D18" s="12" t="s">
        <v>12</v>
      </c>
      <c r="E18" s="10"/>
      <c r="F18" s="13"/>
      <c r="G18" s="13"/>
      <c r="H18" s="14"/>
      <c r="I18" s="61"/>
      <c r="J18" s="62"/>
      <c r="K18" s="62"/>
      <c r="L18" s="63"/>
      <c r="M18" s="61"/>
      <c r="N18" s="62"/>
      <c r="O18" s="62"/>
      <c r="P18" s="63"/>
      <c r="Q18" s="53" t="s">
        <v>42</v>
      </c>
    </row>
    <row r="19" spans="1:17" ht="22.5" customHeight="1" x14ac:dyDescent="0.35">
      <c r="A19" s="10">
        <v>10</v>
      </c>
      <c r="B19" s="6" t="s">
        <v>43</v>
      </c>
      <c r="C19" s="43">
        <v>1</v>
      </c>
      <c r="D19" s="12" t="s">
        <v>11</v>
      </c>
      <c r="E19" s="19"/>
      <c r="F19" s="20"/>
      <c r="G19" s="20"/>
      <c r="H19" s="21"/>
      <c r="I19" s="64"/>
      <c r="J19" s="65">
        <v>85</v>
      </c>
      <c r="K19" s="65"/>
      <c r="L19" s="66"/>
      <c r="M19" s="67"/>
      <c r="N19" s="68"/>
      <c r="O19" s="68"/>
      <c r="P19" s="69"/>
      <c r="Q19" s="53"/>
    </row>
    <row r="20" spans="1:17" ht="22.5" customHeight="1" x14ac:dyDescent="0.35">
      <c r="A20" s="10">
        <v>11</v>
      </c>
      <c r="B20" s="6" t="s">
        <v>44</v>
      </c>
      <c r="C20" s="7" t="s">
        <v>13</v>
      </c>
      <c r="D20" s="12" t="s">
        <v>11</v>
      </c>
      <c r="E20" s="10"/>
      <c r="F20" s="13">
        <v>85</v>
      </c>
      <c r="G20" s="13"/>
      <c r="H20" s="4">
        <f t="shared" ref="H20:H21" si="0">SUM(E20:G20)</f>
        <v>85</v>
      </c>
      <c r="I20" s="26"/>
      <c r="J20" s="24"/>
      <c r="K20" s="24"/>
      <c r="L20" s="25"/>
      <c r="M20" s="26"/>
      <c r="N20" s="24"/>
      <c r="O20" s="24"/>
      <c r="P20" s="25"/>
      <c r="Q20" s="53"/>
    </row>
    <row r="21" spans="1:17" ht="22.5" customHeight="1" x14ac:dyDescent="0.35">
      <c r="A21" s="10">
        <v>12</v>
      </c>
      <c r="B21" s="6" t="s">
        <v>45</v>
      </c>
      <c r="C21" s="7" t="s">
        <v>13</v>
      </c>
      <c r="D21" s="12" t="s">
        <v>11</v>
      </c>
      <c r="E21" s="10"/>
      <c r="F21" s="13">
        <v>0</v>
      </c>
      <c r="G21" s="13"/>
      <c r="H21" s="4">
        <f t="shared" si="0"/>
        <v>0</v>
      </c>
      <c r="I21" s="26"/>
      <c r="J21" s="24"/>
      <c r="K21" s="24"/>
      <c r="L21" s="25"/>
      <c r="M21" s="26"/>
      <c r="N21" s="24"/>
      <c r="O21" s="24"/>
      <c r="P21" s="25"/>
      <c r="Q21" s="48"/>
    </row>
    <row r="22" spans="1:17" ht="23.25" customHeight="1" x14ac:dyDescent="0.35">
      <c r="A22" s="10">
        <v>13</v>
      </c>
      <c r="B22" s="11" t="s">
        <v>46</v>
      </c>
      <c r="C22" s="43">
        <v>2</v>
      </c>
      <c r="D22" s="12" t="s">
        <v>11</v>
      </c>
      <c r="E22" s="22"/>
      <c r="F22" s="23"/>
      <c r="G22" s="23"/>
      <c r="H22" s="25"/>
      <c r="I22" s="26"/>
      <c r="J22" s="24"/>
      <c r="K22" s="24"/>
      <c r="L22" s="25"/>
      <c r="M22" s="9"/>
      <c r="N22" s="3">
        <v>85</v>
      </c>
      <c r="O22" s="3"/>
      <c r="P22" s="14">
        <f>SUM(M22:O22)</f>
        <v>85</v>
      </c>
      <c r="Q22" s="53"/>
    </row>
    <row r="23" spans="1:17" ht="22.5" customHeight="1" x14ac:dyDescent="0.35">
      <c r="A23" s="28">
        <v>14</v>
      </c>
      <c r="B23" s="29" t="s">
        <v>19</v>
      </c>
      <c r="C23" s="56">
        <v>1</v>
      </c>
      <c r="D23" s="70" t="s">
        <v>11</v>
      </c>
      <c r="E23" s="44"/>
      <c r="F23" s="45"/>
      <c r="G23" s="45"/>
      <c r="H23" s="46"/>
      <c r="I23" s="54"/>
      <c r="J23" s="55">
        <v>85</v>
      </c>
      <c r="K23" s="55"/>
      <c r="L23" s="31"/>
      <c r="M23" s="50"/>
      <c r="N23" s="51"/>
      <c r="O23" s="51"/>
      <c r="P23" s="46"/>
      <c r="Q23" s="58"/>
    </row>
    <row r="24" spans="1:17" ht="13.5" customHeight="1" x14ac:dyDescent="0.35">
      <c r="A24" s="37"/>
      <c r="B24" s="38"/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</row>
    <row r="25" spans="1:17" ht="13.5" customHeight="1" x14ac:dyDescent="0.35">
      <c r="A25" s="37"/>
      <c r="B25" s="38"/>
      <c r="C25" s="39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 spans="1:17" ht="13.5" customHeight="1" x14ac:dyDescent="0.35">
      <c r="A26" s="37"/>
      <c r="B26" s="38"/>
      <c r="C26" s="39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1:17" ht="13.5" customHeight="1" x14ac:dyDescent="0.35">
      <c r="A27" s="37"/>
      <c r="B27" s="38"/>
      <c r="C27" s="39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 spans="1:17" ht="13.5" customHeight="1" x14ac:dyDescent="0.35">
      <c r="A28" s="37"/>
      <c r="B28" s="38"/>
      <c r="C28" s="39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 spans="1:17" ht="13.5" customHeight="1" x14ac:dyDescent="0.35">
      <c r="A29" s="37"/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  <row r="30" spans="1:17" ht="13.5" customHeight="1" x14ac:dyDescent="0.35">
      <c r="A30" s="37"/>
      <c r="B30" s="38"/>
      <c r="C30" s="39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 spans="1:17" ht="13.5" customHeight="1" x14ac:dyDescent="0.35">
      <c r="A31" s="37"/>
      <c r="B31" s="38"/>
      <c r="C31" s="39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</row>
    <row r="32" spans="1:17" ht="13.5" customHeight="1" x14ac:dyDescent="0.35">
      <c r="A32" s="37"/>
      <c r="B32" s="38"/>
      <c r="C32" s="39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</row>
    <row r="33" spans="1:17" ht="13.5" customHeight="1" x14ac:dyDescent="0.35">
      <c r="A33" s="37"/>
      <c r="B33" s="38"/>
      <c r="C33" s="39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</row>
    <row r="34" spans="1:17" ht="13.5" customHeight="1" x14ac:dyDescent="0.35">
      <c r="A34" s="37"/>
      <c r="B34" s="38"/>
      <c r="C34" s="39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</row>
    <row r="35" spans="1:17" ht="13.5" customHeight="1" x14ac:dyDescent="0.35">
      <c r="A35" s="37"/>
      <c r="B35" s="38"/>
      <c r="C35" s="39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</row>
    <row r="36" spans="1:17" ht="13.5" customHeight="1" x14ac:dyDescent="0.35">
      <c r="A36" s="37"/>
      <c r="B36" s="38"/>
      <c r="C36" s="39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</row>
    <row r="37" spans="1:17" ht="13.5" customHeight="1" x14ac:dyDescent="0.35">
      <c r="A37" s="37"/>
      <c r="B37" s="38"/>
      <c r="C37" s="39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</row>
    <row r="38" spans="1:17" ht="13.5" customHeight="1" x14ac:dyDescent="0.35">
      <c r="A38" s="37"/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</row>
    <row r="39" spans="1:17" ht="13.5" customHeight="1" x14ac:dyDescent="0.35">
      <c r="A39" s="37"/>
      <c r="B39" s="38"/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</row>
    <row r="40" spans="1:17" ht="13.5" customHeight="1" x14ac:dyDescent="0.35">
      <c r="A40" s="37"/>
      <c r="B40" s="38"/>
      <c r="C40" s="39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</row>
    <row r="41" spans="1:17" ht="13.5" customHeight="1" x14ac:dyDescent="0.35">
      <c r="A41" s="37"/>
      <c r="B41" s="38"/>
      <c r="C41" s="39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</row>
    <row r="42" spans="1:17" ht="13.5" customHeight="1" x14ac:dyDescent="0.35">
      <c r="A42" s="37"/>
      <c r="B42" s="38"/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</row>
    <row r="43" spans="1:17" ht="13.5" customHeight="1" x14ac:dyDescent="0.35">
      <c r="A43" s="37"/>
      <c r="B43" s="38"/>
      <c r="C43" s="39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</row>
    <row r="44" spans="1:17" ht="13.5" customHeight="1" x14ac:dyDescent="0.35">
      <c r="A44" s="37"/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</row>
    <row r="45" spans="1:17" ht="13.5" customHeight="1" x14ac:dyDescent="0.35">
      <c r="A45" s="37"/>
      <c r="B45" s="38"/>
      <c r="C45" s="39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</row>
    <row r="46" spans="1:17" ht="13.5" customHeight="1" x14ac:dyDescent="0.35">
      <c r="A46" s="37"/>
      <c r="B46" s="38"/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</row>
    <row r="47" spans="1:17" ht="13.5" customHeight="1" x14ac:dyDescent="0.35">
      <c r="A47" s="37"/>
      <c r="B47" s="38"/>
      <c r="C47" s="39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</row>
    <row r="48" spans="1:17" ht="13.5" customHeight="1" x14ac:dyDescent="0.35">
      <c r="A48" s="37"/>
      <c r="B48" s="38"/>
      <c r="C48" s="39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</row>
    <row r="49" spans="1:17" ht="13.5" customHeight="1" x14ac:dyDescent="0.35">
      <c r="A49" s="37"/>
      <c r="B49" s="38"/>
      <c r="C49" s="39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</row>
    <row r="50" spans="1:17" ht="13.5" customHeight="1" x14ac:dyDescent="0.35">
      <c r="A50" s="37"/>
      <c r="B50" s="38"/>
      <c r="C50" s="39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</row>
    <row r="51" spans="1:17" ht="13.5" customHeight="1" x14ac:dyDescent="0.35">
      <c r="A51" s="37"/>
      <c r="B51" s="38"/>
      <c r="C51" s="39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</row>
    <row r="52" spans="1:17" ht="13.5" customHeight="1" x14ac:dyDescent="0.35">
      <c r="A52" s="37"/>
      <c r="B52" s="38"/>
      <c r="C52" s="39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</row>
    <row r="53" spans="1:17" ht="13.5" customHeight="1" x14ac:dyDescent="0.35">
      <c r="A53" s="37"/>
      <c r="B53" s="38"/>
      <c r="C53" s="39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</row>
    <row r="54" spans="1:17" ht="13.5" customHeight="1" x14ac:dyDescent="0.35">
      <c r="A54" s="37"/>
      <c r="B54" s="38"/>
      <c r="C54" s="39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</row>
    <row r="55" spans="1:17" ht="13.5" customHeight="1" x14ac:dyDescent="0.35">
      <c r="A55" s="37"/>
      <c r="B55" s="38"/>
      <c r="C55" s="39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</row>
    <row r="56" spans="1:17" ht="13.5" customHeight="1" x14ac:dyDescent="0.35">
      <c r="A56" s="37"/>
      <c r="B56" s="38"/>
      <c r="C56" s="39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</row>
    <row r="57" spans="1:17" ht="13.5" customHeight="1" x14ac:dyDescent="0.35">
      <c r="A57" s="37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</row>
    <row r="58" spans="1:17" ht="13.5" customHeight="1" x14ac:dyDescent="0.35">
      <c r="A58" s="37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</row>
    <row r="59" spans="1:17" ht="13.5" customHeight="1" x14ac:dyDescent="0.35">
      <c r="A59" s="37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</row>
    <row r="60" spans="1:17" ht="13.5" customHeight="1" x14ac:dyDescent="0.35">
      <c r="A60" s="37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</row>
    <row r="61" spans="1:17" ht="13.5" customHeight="1" x14ac:dyDescent="0.35">
      <c r="A61" s="37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</row>
    <row r="62" spans="1:17" ht="13.5" customHeight="1" x14ac:dyDescent="0.35">
      <c r="A62" s="37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</row>
    <row r="63" spans="1:17" ht="13.5" customHeight="1" x14ac:dyDescent="0.35">
      <c r="A63" s="37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</row>
    <row r="64" spans="1:17" ht="13.5" customHeight="1" x14ac:dyDescent="0.35">
      <c r="A64" s="37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</row>
    <row r="65" spans="1:17" ht="13.5" customHeight="1" x14ac:dyDescent="0.35">
      <c r="A65" s="37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</row>
    <row r="66" spans="1:17" ht="13.5" customHeight="1" x14ac:dyDescent="0.35">
      <c r="A66" s="37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</row>
    <row r="67" spans="1:17" ht="13.5" customHeight="1" x14ac:dyDescent="0.35">
      <c r="A67" s="37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</row>
    <row r="68" spans="1:17" ht="13.5" customHeight="1" x14ac:dyDescent="0.35">
      <c r="A68" s="37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</row>
    <row r="69" spans="1:17" ht="13.5" customHeight="1" x14ac:dyDescent="0.35">
      <c r="A69" s="37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</row>
    <row r="70" spans="1:17" ht="13.5" customHeight="1" x14ac:dyDescent="0.35">
      <c r="A70" s="37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</row>
    <row r="71" spans="1:17" ht="13.5" customHeight="1" x14ac:dyDescent="0.35">
      <c r="A71" s="37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</row>
    <row r="72" spans="1:17" ht="13.5" customHeight="1" x14ac:dyDescent="0.35">
      <c r="A72" s="37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</row>
    <row r="73" spans="1:17" ht="13.5" customHeight="1" x14ac:dyDescent="0.35">
      <c r="A73" s="37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</row>
    <row r="74" spans="1:17" ht="13.5" customHeight="1" x14ac:dyDescent="0.35">
      <c r="A74" s="37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</row>
    <row r="75" spans="1:17" ht="13.5" customHeight="1" x14ac:dyDescent="0.35">
      <c r="A75" s="37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</row>
    <row r="76" spans="1:17" ht="13.5" customHeight="1" x14ac:dyDescent="0.35">
      <c r="A76" s="37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</row>
    <row r="77" spans="1:17" ht="13.5" customHeight="1" x14ac:dyDescent="0.35">
      <c r="A77" s="37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</row>
    <row r="78" spans="1:17" ht="13.5" customHeight="1" x14ac:dyDescent="0.35">
      <c r="A78" s="37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</row>
    <row r="79" spans="1:17" ht="13.5" customHeight="1" x14ac:dyDescent="0.35">
      <c r="A79" s="37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</row>
    <row r="80" spans="1:17" ht="13.5" customHeight="1" x14ac:dyDescent="0.35">
      <c r="A80" s="37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</row>
    <row r="81" spans="1:17" ht="13.5" customHeight="1" x14ac:dyDescent="0.35">
      <c r="A81" s="37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</row>
    <row r="82" spans="1:17" ht="13.5" customHeight="1" x14ac:dyDescent="0.35">
      <c r="A82" s="37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</row>
    <row r="83" spans="1:17" ht="13.5" customHeight="1" x14ac:dyDescent="0.35">
      <c r="A83" s="37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</row>
    <row r="84" spans="1:17" ht="13.5" customHeight="1" x14ac:dyDescent="0.35">
      <c r="A84" s="37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</row>
    <row r="85" spans="1:17" ht="13.5" customHeight="1" x14ac:dyDescent="0.35">
      <c r="A85" s="37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</row>
    <row r="86" spans="1:17" ht="13.5" customHeight="1" x14ac:dyDescent="0.35">
      <c r="A86" s="37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</row>
    <row r="87" spans="1:17" ht="13.5" customHeight="1" x14ac:dyDescent="0.35">
      <c r="A87" s="37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</row>
    <row r="88" spans="1:17" ht="13.5" customHeight="1" x14ac:dyDescent="0.35">
      <c r="A88" s="37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</row>
    <row r="89" spans="1:17" ht="13.5" customHeight="1" x14ac:dyDescent="0.35">
      <c r="A89" s="37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</row>
    <row r="90" spans="1:17" ht="13.5" customHeight="1" x14ac:dyDescent="0.35">
      <c r="A90" s="37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</row>
    <row r="91" spans="1:17" ht="13.5" customHeight="1" x14ac:dyDescent="0.35">
      <c r="A91" s="37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</row>
    <row r="92" spans="1:17" ht="13.5" customHeight="1" x14ac:dyDescent="0.35">
      <c r="A92" s="37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</row>
    <row r="93" spans="1:17" ht="13.5" customHeight="1" x14ac:dyDescent="0.35">
      <c r="A93" s="37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</row>
    <row r="94" spans="1:17" ht="13.5" customHeight="1" x14ac:dyDescent="0.35">
      <c r="A94" s="37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</row>
    <row r="95" spans="1:17" ht="13.5" customHeight="1" x14ac:dyDescent="0.35">
      <c r="A95" s="37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</row>
    <row r="96" spans="1:17" ht="13.5" customHeight="1" x14ac:dyDescent="0.35">
      <c r="A96" s="37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</row>
    <row r="97" spans="1:17" ht="13.5" customHeight="1" x14ac:dyDescent="0.35">
      <c r="A97" s="37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</row>
    <row r="98" spans="1:17" ht="13.5" customHeight="1" x14ac:dyDescent="0.35">
      <c r="A98" s="37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</row>
    <row r="99" spans="1:17" ht="13.5" customHeight="1" x14ac:dyDescent="0.35">
      <c r="A99" s="37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</row>
    <row r="100" spans="1:17" ht="13.5" customHeight="1" x14ac:dyDescent="0.35">
      <c r="A100" s="37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</row>
    <row r="101" spans="1:17" ht="13.5" customHeight="1" x14ac:dyDescent="0.35">
      <c r="A101" s="37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</row>
    <row r="102" spans="1:17" ht="13.5" customHeight="1" x14ac:dyDescent="0.35">
      <c r="A102" s="37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</row>
    <row r="103" spans="1:17" ht="13.5" customHeight="1" x14ac:dyDescent="0.35">
      <c r="A103" s="37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</row>
    <row r="104" spans="1:17" ht="13.5" customHeight="1" x14ac:dyDescent="0.35">
      <c r="A104" s="37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</row>
    <row r="105" spans="1:17" ht="13.5" customHeight="1" x14ac:dyDescent="0.35">
      <c r="A105" s="37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</row>
    <row r="106" spans="1:17" ht="13.5" customHeight="1" x14ac:dyDescent="0.35">
      <c r="A106" s="37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</row>
    <row r="107" spans="1:17" ht="13.5" customHeight="1" x14ac:dyDescent="0.35">
      <c r="A107" s="37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</row>
    <row r="108" spans="1:17" ht="13.5" customHeight="1" x14ac:dyDescent="0.35">
      <c r="A108" s="37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</row>
    <row r="109" spans="1:17" ht="13.5" customHeight="1" x14ac:dyDescent="0.35">
      <c r="A109" s="37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</row>
    <row r="110" spans="1:17" ht="13.5" customHeight="1" x14ac:dyDescent="0.35">
      <c r="A110" s="37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</row>
    <row r="111" spans="1:17" ht="13.5" customHeight="1" x14ac:dyDescent="0.35">
      <c r="A111" s="37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</row>
    <row r="112" spans="1:17" ht="13.5" customHeight="1" x14ac:dyDescent="0.35">
      <c r="A112" s="37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</row>
    <row r="113" spans="1:17" ht="13.5" customHeight="1" x14ac:dyDescent="0.35">
      <c r="A113" s="37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</row>
    <row r="114" spans="1:17" ht="13.5" customHeight="1" x14ac:dyDescent="0.35">
      <c r="A114" s="37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</row>
    <row r="115" spans="1:17" ht="15.75" customHeight="1" x14ac:dyDescent="0.35">
      <c r="A115" s="40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</row>
    <row r="116" spans="1:17" ht="15.75" customHeight="1" x14ac:dyDescent="0.35">
      <c r="A116" s="40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</row>
    <row r="117" spans="1:17" ht="15.75" customHeight="1" x14ac:dyDescent="0.35">
      <c r="A117" s="40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</row>
    <row r="118" spans="1:17" ht="15.75" customHeight="1" x14ac:dyDescent="0.35">
      <c r="A118" s="40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</row>
    <row r="119" spans="1:17" ht="15.75" customHeight="1" x14ac:dyDescent="0.35">
      <c r="A119" s="40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</row>
    <row r="120" spans="1:17" ht="15.75" customHeight="1" x14ac:dyDescent="0.35">
      <c r="A120" s="40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</row>
    <row r="121" spans="1:17" ht="15.75" customHeight="1" x14ac:dyDescent="0.35">
      <c r="A121" s="40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</row>
    <row r="122" spans="1:17" ht="15.75" customHeight="1" x14ac:dyDescent="0.35">
      <c r="A122" s="40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</row>
    <row r="123" spans="1:17" ht="15.75" customHeight="1" x14ac:dyDescent="0.35">
      <c r="A123" s="40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</row>
    <row r="124" spans="1:17" ht="15.75" customHeight="1" x14ac:dyDescent="0.35">
      <c r="A124" s="40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</row>
    <row r="125" spans="1:17" ht="15.75" customHeight="1" x14ac:dyDescent="0.35">
      <c r="A125" s="40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</row>
    <row r="126" spans="1:17" ht="15.75" customHeight="1" x14ac:dyDescent="0.35">
      <c r="A126" s="40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</row>
    <row r="127" spans="1:17" ht="15.75" customHeight="1" x14ac:dyDescent="0.35">
      <c r="A127" s="40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</row>
    <row r="128" spans="1:17" ht="15.75" customHeight="1" x14ac:dyDescent="0.35">
      <c r="A128" s="40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</row>
    <row r="129" spans="1:17" ht="15.75" customHeight="1" x14ac:dyDescent="0.35">
      <c r="A129" s="40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</row>
    <row r="130" spans="1:17" ht="15.75" customHeight="1" x14ac:dyDescent="0.35">
      <c r="A130" s="40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</row>
    <row r="131" spans="1:17" ht="15.75" customHeight="1" x14ac:dyDescent="0.35">
      <c r="A131" s="40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</row>
    <row r="132" spans="1:17" ht="15.75" customHeight="1" x14ac:dyDescent="0.35">
      <c r="A132" s="40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</row>
    <row r="133" spans="1:17" ht="15.75" customHeight="1" x14ac:dyDescent="0.35">
      <c r="A133" s="40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</row>
    <row r="134" spans="1:17" ht="15.75" customHeight="1" x14ac:dyDescent="0.35">
      <c r="A134" s="40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</row>
    <row r="135" spans="1:17" ht="15.75" customHeight="1" x14ac:dyDescent="0.35">
      <c r="A135" s="40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</row>
    <row r="136" spans="1:17" ht="15.75" customHeight="1" x14ac:dyDescent="0.35">
      <c r="A136" s="40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</row>
    <row r="137" spans="1:17" ht="15.75" customHeight="1" x14ac:dyDescent="0.35">
      <c r="A137" s="40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</row>
    <row r="138" spans="1:17" ht="15.75" customHeight="1" x14ac:dyDescent="0.35">
      <c r="A138" s="40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</row>
    <row r="139" spans="1:17" ht="15.75" customHeight="1" x14ac:dyDescent="0.35">
      <c r="A139" s="40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</row>
    <row r="140" spans="1:17" ht="15.75" customHeight="1" x14ac:dyDescent="0.35">
      <c r="A140" s="40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</row>
    <row r="141" spans="1:17" ht="15.75" customHeight="1" x14ac:dyDescent="0.35">
      <c r="A141" s="40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</row>
    <row r="142" spans="1:17" ht="15.75" customHeight="1" x14ac:dyDescent="0.35">
      <c r="A142" s="40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</row>
    <row r="143" spans="1:17" ht="15.75" customHeight="1" x14ac:dyDescent="0.35">
      <c r="A143" s="40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</row>
    <row r="144" spans="1:17" ht="15.75" customHeight="1" x14ac:dyDescent="0.35">
      <c r="A144" s="40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</row>
    <row r="145" spans="1:17" ht="15.75" customHeight="1" x14ac:dyDescent="0.35">
      <c r="A145" s="40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</row>
    <row r="146" spans="1:17" ht="15.75" customHeight="1" x14ac:dyDescent="0.35">
      <c r="A146" s="40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</row>
    <row r="147" spans="1:17" ht="15.75" customHeight="1" x14ac:dyDescent="0.35">
      <c r="A147" s="40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</row>
    <row r="148" spans="1:17" ht="15.75" customHeight="1" x14ac:dyDescent="0.35">
      <c r="A148" s="40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</row>
    <row r="149" spans="1:17" ht="15.75" customHeight="1" x14ac:dyDescent="0.35">
      <c r="A149" s="40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</row>
    <row r="150" spans="1:17" ht="15.75" customHeight="1" x14ac:dyDescent="0.35">
      <c r="A150" s="40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</row>
    <row r="151" spans="1:17" ht="15.75" customHeight="1" x14ac:dyDescent="0.35">
      <c r="A151" s="40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</row>
    <row r="152" spans="1:17" ht="15.75" customHeight="1" x14ac:dyDescent="0.35">
      <c r="A152" s="40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</row>
    <row r="153" spans="1:17" ht="15.75" customHeight="1" x14ac:dyDescent="0.35">
      <c r="A153" s="40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</row>
    <row r="154" spans="1:17" ht="15.75" customHeight="1" x14ac:dyDescent="0.35">
      <c r="A154" s="40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</row>
    <row r="155" spans="1:17" ht="15.75" customHeight="1" x14ac:dyDescent="0.35">
      <c r="A155" s="40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</row>
    <row r="156" spans="1:17" ht="15.75" customHeight="1" x14ac:dyDescent="0.35">
      <c r="A156" s="40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</row>
    <row r="157" spans="1:17" ht="15.75" customHeight="1" x14ac:dyDescent="0.35">
      <c r="A157" s="40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</row>
    <row r="158" spans="1:17" ht="15.75" customHeight="1" x14ac:dyDescent="0.35">
      <c r="A158" s="40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</row>
    <row r="159" spans="1:17" ht="15.75" customHeight="1" x14ac:dyDescent="0.35">
      <c r="A159" s="40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</row>
    <row r="160" spans="1:17" ht="15.75" customHeight="1" x14ac:dyDescent="0.35">
      <c r="A160" s="40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</row>
    <row r="161" spans="1:17" ht="15.75" customHeight="1" x14ac:dyDescent="0.35">
      <c r="A161" s="40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</row>
    <row r="162" spans="1:17" ht="15.75" customHeight="1" x14ac:dyDescent="0.35">
      <c r="A162" s="40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</row>
    <row r="163" spans="1:17" ht="15.75" customHeight="1" x14ac:dyDescent="0.35">
      <c r="A163" s="40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</row>
    <row r="164" spans="1:17" ht="15.75" customHeight="1" x14ac:dyDescent="0.35">
      <c r="A164" s="40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</row>
    <row r="165" spans="1:17" ht="15.75" customHeight="1" x14ac:dyDescent="0.35">
      <c r="A165" s="40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</row>
    <row r="166" spans="1:17" ht="15.75" customHeight="1" x14ac:dyDescent="0.35">
      <c r="A166" s="40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</row>
    <row r="167" spans="1:17" ht="15.75" customHeight="1" x14ac:dyDescent="0.35">
      <c r="A167" s="40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</row>
    <row r="168" spans="1:17" ht="15.75" customHeight="1" x14ac:dyDescent="0.35">
      <c r="A168" s="40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</row>
    <row r="169" spans="1:17" ht="15.75" customHeight="1" x14ac:dyDescent="0.35">
      <c r="A169" s="40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</row>
    <row r="170" spans="1:17" ht="15.75" customHeight="1" x14ac:dyDescent="0.35">
      <c r="A170" s="40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</row>
    <row r="171" spans="1:17" ht="15.75" customHeight="1" x14ac:dyDescent="0.35">
      <c r="A171" s="40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</row>
    <row r="172" spans="1:17" ht="15.75" customHeight="1" x14ac:dyDescent="0.35">
      <c r="A172" s="40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</row>
    <row r="173" spans="1:17" ht="15.75" customHeight="1" x14ac:dyDescent="0.35">
      <c r="A173" s="40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</row>
    <row r="174" spans="1:17" ht="15.75" customHeight="1" x14ac:dyDescent="0.35">
      <c r="A174" s="40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</row>
    <row r="175" spans="1:17" ht="15.75" customHeight="1" x14ac:dyDescent="0.35">
      <c r="A175" s="40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</row>
    <row r="176" spans="1:17" ht="15.75" customHeight="1" x14ac:dyDescent="0.35">
      <c r="A176" s="40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</row>
    <row r="177" spans="1:17" ht="15.75" customHeight="1" x14ac:dyDescent="0.35">
      <c r="A177" s="40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</row>
    <row r="178" spans="1:17" ht="15.75" customHeight="1" x14ac:dyDescent="0.35">
      <c r="A178" s="40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</row>
    <row r="179" spans="1:17" ht="15.75" customHeight="1" x14ac:dyDescent="0.35">
      <c r="A179" s="40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</row>
    <row r="180" spans="1:17" ht="15.75" customHeight="1" x14ac:dyDescent="0.35">
      <c r="A180" s="40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</row>
    <row r="181" spans="1:17" ht="15.75" customHeight="1" x14ac:dyDescent="0.35">
      <c r="A181" s="40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</row>
    <row r="182" spans="1:17" ht="15.75" customHeight="1" x14ac:dyDescent="0.35">
      <c r="A182" s="40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</row>
    <row r="183" spans="1:17" ht="15.75" customHeight="1" x14ac:dyDescent="0.35">
      <c r="A183" s="40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</row>
    <row r="184" spans="1:17" ht="15.75" customHeight="1" x14ac:dyDescent="0.35">
      <c r="A184" s="40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</row>
    <row r="185" spans="1:17" ht="15.75" customHeight="1" x14ac:dyDescent="0.35">
      <c r="A185" s="40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</row>
    <row r="186" spans="1:17" ht="15.75" customHeight="1" x14ac:dyDescent="0.35">
      <c r="A186" s="40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</row>
    <row r="187" spans="1:17" ht="15.75" customHeight="1" x14ac:dyDescent="0.35">
      <c r="A187" s="40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</row>
    <row r="188" spans="1:17" ht="15.75" customHeight="1" x14ac:dyDescent="0.35">
      <c r="A188" s="40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</row>
    <row r="189" spans="1:17" ht="15.75" customHeight="1" x14ac:dyDescent="0.35">
      <c r="A189" s="40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</row>
    <row r="190" spans="1:17" ht="15.75" customHeight="1" x14ac:dyDescent="0.35">
      <c r="A190" s="40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</row>
    <row r="191" spans="1:17" ht="15.75" customHeight="1" x14ac:dyDescent="0.35">
      <c r="A191" s="40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</row>
    <row r="192" spans="1:17" ht="15.75" customHeight="1" x14ac:dyDescent="0.35">
      <c r="A192" s="40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</row>
    <row r="193" spans="1:17" ht="15.75" customHeight="1" x14ac:dyDescent="0.35">
      <c r="A193" s="40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</row>
    <row r="194" spans="1:17" ht="15.75" customHeight="1" x14ac:dyDescent="0.35">
      <c r="A194" s="40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</row>
    <row r="195" spans="1:17" ht="15.75" customHeight="1" x14ac:dyDescent="0.35">
      <c r="A195" s="40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</row>
    <row r="196" spans="1:17" ht="15.75" customHeight="1" x14ac:dyDescent="0.35">
      <c r="A196" s="40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</row>
    <row r="197" spans="1:17" ht="15.75" customHeight="1" x14ac:dyDescent="0.35">
      <c r="A197" s="40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</row>
    <row r="198" spans="1:17" ht="15.75" customHeight="1" x14ac:dyDescent="0.35">
      <c r="A198" s="40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</row>
    <row r="199" spans="1:17" ht="15.75" customHeight="1" x14ac:dyDescent="0.35">
      <c r="A199" s="40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</row>
    <row r="200" spans="1:17" ht="15.75" customHeight="1" x14ac:dyDescent="0.35">
      <c r="A200" s="40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</row>
    <row r="201" spans="1:17" ht="15.75" customHeight="1" x14ac:dyDescent="0.35">
      <c r="A201" s="40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</row>
    <row r="202" spans="1:17" ht="15.75" customHeight="1" x14ac:dyDescent="0.35">
      <c r="A202" s="40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</row>
    <row r="203" spans="1:17" ht="15.75" customHeight="1" x14ac:dyDescent="0.35">
      <c r="A203" s="40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</row>
    <row r="204" spans="1:17" ht="15.75" customHeight="1" x14ac:dyDescent="0.35">
      <c r="A204" s="40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</row>
    <row r="205" spans="1:17" ht="15.75" customHeight="1" x14ac:dyDescent="0.35">
      <c r="A205" s="40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</row>
    <row r="206" spans="1:17" ht="15.75" customHeight="1" x14ac:dyDescent="0.35">
      <c r="A206" s="40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</row>
    <row r="207" spans="1:17" ht="15.75" customHeight="1" x14ac:dyDescent="0.35">
      <c r="A207" s="40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</row>
    <row r="208" spans="1:17" ht="15.75" customHeight="1" x14ac:dyDescent="0.35">
      <c r="A208" s="40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</row>
    <row r="209" spans="1:17" ht="15.75" customHeight="1" x14ac:dyDescent="0.35">
      <c r="A209" s="40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</row>
    <row r="210" spans="1:17" ht="15.75" customHeight="1" x14ac:dyDescent="0.35">
      <c r="A210" s="40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</row>
    <row r="211" spans="1:17" ht="15.75" customHeight="1" x14ac:dyDescent="0.35">
      <c r="A211" s="40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</row>
    <row r="212" spans="1:17" ht="15.75" customHeight="1" x14ac:dyDescent="0.35">
      <c r="A212" s="40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</row>
    <row r="213" spans="1:17" ht="15.75" customHeight="1" x14ac:dyDescent="0.35">
      <c r="A213" s="40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</row>
    <row r="214" spans="1:17" ht="15.75" customHeight="1" x14ac:dyDescent="0.35">
      <c r="A214" s="40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</row>
    <row r="215" spans="1:17" ht="15.75" customHeight="1" x14ac:dyDescent="0.35">
      <c r="A215" s="40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</row>
    <row r="216" spans="1:17" ht="15.75" customHeight="1" x14ac:dyDescent="0.35">
      <c r="A216" s="40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</row>
    <row r="217" spans="1:17" ht="15.75" customHeight="1" x14ac:dyDescent="0.35">
      <c r="A217" s="40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</row>
    <row r="218" spans="1:17" ht="15.75" customHeight="1" x14ac:dyDescent="0.35">
      <c r="A218" s="40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</row>
    <row r="219" spans="1:17" ht="15.75" customHeight="1" x14ac:dyDescent="0.35">
      <c r="A219" s="40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</row>
    <row r="220" spans="1:17" ht="15.75" customHeight="1" x14ac:dyDescent="0.35">
      <c r="A220" s="40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</row>
    <row r="221" spans="1:17" ht="15.75" customHeight="1" x14ac:dyDescent="0.35">
      <c r="A221" s="40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</row>
    <row r="222" spans="1:17" ht="15.75" customHeight="1" x14ac:dyDescent="0.35">
      <c r="A222" s="40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</row>
    <row r="223" spans="1:17" ht="15.75" customHeight="1" x14ac:dyDescent="0.35">
      <c r="A223" s="40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</row>
    <row r="224" spans="1:17" ht="15.75" customHeight="1" x14ac:dyDescent="0.35">
      <c r="A224" s="40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</row>
    <row r="225" spans="1:17" ht="15.75" customHeight="1" x14ac:dyDescent="0.35">
      <c r="A225" s="40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</row>
    <row r="226" spans="1:17" ht="15.75" customHeight="1" x14ac:dyDescent="0.35">
      <c r="A226" s="40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</row>
    <row r="227" spans="1:17" ht="15.75" customHeight="1" x14ac:dyDescent="0.35">
      <c r="A227" s="40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</row>
    <row r="228" spans="1:17" ht="15.75" customHeight="1" x14ac:dyDescent="0.35">
      <c r="A228" s="40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</row>
    <row r="229" spans="1:17" ht="15.75" customHeight="1" x14ac:dyDescent="0.35">
      <c r="A229" s="40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</row>
    <row r="230" spans="1:17" ht="15.75" customHeight="1" x14ac:dyDescent="0.35">
      <c r="A230" s="40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</row>
    <row r="231" spans="1:17" ht="15.75" customHeight="1" x14ac:dyDescent="0.35">
      <c r="A231" s="40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</row>
    <row r="232" spans="1:17" ht="15.75" customHeight="1" x14ac:dyDescent="0.35">
      <c r="A232" s="40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</row>
    <row r="233" spans="1:17" ht="15.75" customHeight="1" x14ac:dyDescent="0.35">
      <c r="A233" s="40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</row>
    <row r="234" spans="1:17" ht="15.75" customHeight="1" x14ac:dyDescent="0.35">
      <c r="A234" s="40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</row>
    <row r="235" spans="1:17" ht="15.75" customHeight="1" x14ac:dyDescent="0.35">
      <c r="A235" s="40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</row>
    <row r="236" spans="1:17" ht="15.75" customHeight="1" x14ac:dyDescent="0.35">
      <c r="A236" s="40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</row>
    <row r="237" spans="1:17" ht="15.75" customHeight="1" x14ac:dyDescent="0.35">
      <c r="A237" s="40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</row>
    <row r="238" spans="1:17" ht="15.75" customHeight="1" x14ac:dyDescent="0.35">
      <c r="A238" s="40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</row>
    <row r="239" spans="1:17" ht="15.75" customHeight="1" x14ac:dyDescent="0.35">
      <c r="A239" s="40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</row>
    <row r="240" spans="1:17" ht="15.75" customHeight="1" x14ac:dyDescent="0.35">
      <c r="A240" s="40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</row>
    <row r="241" spans="1:17" ht="15.75" customHeight="1" x14ac:dyDescent="0.35">
      <c r="A241" s="40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</row>
    <row r="242" spans="1:17" ht="15.75" customHeight="1" x14ac:dyDescent="0.35">
      <c r="A242" s="40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</row>
    <row r="243" spans="1:17" ht="15.75" customHeight="1" x14ac:dyDescent="0.35">
      <c r="A243" s="40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</row>
    <row r="244" spans="1:17" ht="15.75" customHeight="1" x14ac:dyDescent="0.35">
      <c r="A244" s="40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</row>
    <row r="245" spans="1:17" ht="15.75" customHeight="1" x14ac:dyDescent="0.35">
      <c r="A245" s="40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</row>
    <row r="246" spans="1:17" ht="15.75" customHeight="1" x14ac:dyDescent="0.35">
      <c r="A246" s="40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</row>
    <row r="247" spans="1:17" ht="15.75" customHeight="1" x14ac:dyDescent="0.35">
      <c r="A247" s="40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</row>
    <row r="248" spans="1:17" ht="15.75" customHeight="1" x14ac:dyDescent="0.35">
      <c r="A248" s="40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</row>
    <row r="249" spans="1:17" ht="15.75" customHeight="1" x14ac:dyDescent="0.35">
      <c r="A249" s="40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</row>
    <row r="250" spans="1:17" ht="15.75" customHeight="1" x14ac:dyDescent="0.35">
      <c r="A250" s="40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</row>
    <row r="251" spans="1:17" ht="15.75" customHeight="1" x14ac:dyDescent="0.35">
      <c r="A251" s="40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</row>
    <row r="252" spans="1:17" ht="15.75" customHeight="1" x14ac:dyDescent="0.35">
      <c r="A252" s="40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</row>
    <row r="253" spans="1:17" ht="15.75" customHeight="1" x14ac:dyDescent="0.35">
      <c r="A253" s="40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</row>
    <row r="254" spans="1:17" ht="15.75" customHeight="1" x14ac:dyDescent="0.35">
      <c r="A254" s="40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</row>
    <row r="255" spans="1:17" ht="15.75" customHeight="1" x14ac:dyDescent="0.35">
      <c r="A255" s="40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</row>
    <row r="256" spans="1:17" ht="15.75" customHeight="1" x14ac:dyDescent="0.35">
      <c r="A256" s="40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</row>
    <row r="257" spans="1:17" ht="15.75" customHeight="1" x14ac:dyDescent="0.35">
      <c r="A257" s="40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</row>
    <row r="258" spans="1:17" ht="15.75" customHeight="1" x14ac:dyDescent="0.35">
      <c r="A258" s="40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</row>
    <row r="259" spans="1:17" ht="15.75" customHeight="1" x14ac:dyDescent="0.35">
      <c r="A259" s="40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</row>
    <row r="260" spans="1:17" ht="15.75" customHeight="1" x14ac:dyDescent="0.35">
      <c r="A260" s="40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</row>
    <row r="261" spans="1:17" ht="15.75" customHeight="1" x14ac:dyDescent="0.35">
      <c r="A261" s="40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</row>
    <row r="262" spans="1:17" ht="15.75" customHeight="1" x14ac:dyDescent="0.35">
      <c r="A262" s="40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</row>
    <row r="263" spans="1:17" ht="15.75" customHeight="1" x14ac:dyDescent="0.35">
      <c r="A263" s="40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</row>
    <row r="264" spans="1:17" ht="15.75" customHeight="1" x14ac:dyDescent="0.35">
      <c r="A264" s="40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</row>
    <row r="265" spans="1:17" ht="15.75" customHeight="1" x14ac:dyDescent="0.35">
      <c r="A265" s="40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</row>
    <row r="266" spans="1:17" ht="15.75" customHeight="1" x14ac:dyDescent="0.35">
      <c r="A266" s="40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</row>
    <row r="267" spans="1:17" ht="15.75" customHeight="1" x14ac:dyDescent="0.35">
      <c r="A267" s="40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</row>
    <row r="268" spans="1:17" ht="15.75" customHeight="1" x14ac:dyDescent="0.35">
      <c r="A268" s="40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</row>
    <row r="269" spans="1:17" ht="15.75" customHeight="1" x14ac:dyDescent="0.35">
      <c r="A269" s="40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</row>
    <row r="270" spans="1:17" ht="15.75" customHeight="1" x14ac:dyDescent="0.35">
      <c r="A270" s="40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</row>
    <row r="271" spans="1:17" ht="15.75" customHeight="1" x14ac:dyDescent="0.35">
      <c r="A271" s="40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</row>
    <row r="272" spans="1:17" ht="15.75" customHeight="1" x14ac:dyDescent="0.35">
      <c r="A272" s="40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</row>
    <row r="273" spans="1:17" ht="15.75" customHeight="1" x14ac:dyDescent="0.35">
      <c r="A273" s="40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</row>
    <row r="274" spans="1:17" ht="15.75" customHeight="1" x14ac:dyDescent="0.35">
      <c r="A274" s="40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</row>
    <row r="275" spans="1:17" ht="15.75" customHeight="1" x14ac:dyDescent="0.35">
      <c r="A275" s="40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</row>
    <row r="276" spans="1:17" ht="15.75" customHeight="1" x14ac:dyDescent="0.35">
      <c r="A276" s="40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</row>
    <row r="277" spans="1:17" ht="15.75" customHeight="1" x14ac:dyDescent="0.35">
      <c r="A277" s="40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</row>
    <row r="278" spans="1:17" ht="15.75" customHeight="1" x14ac:dyDescent="0.35">
      <c r="A278" s="40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</row>
    <row r="279" spans="1:17" ht="15.75" customHeight="1" x14ac:dyDescent="0.35">
      <c r="A279" s="40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</row>
    <row r="280" spans="1:17" ht="15.75" customHeight="1" x14ac:dyDescent="0.35">
      <c r="A280" s="40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</row>
    <row r="281" spans="1:17" ht="15.75" customHeight="1" x14ac:dyDescent="0.35">
      <c r="A281" s="40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</row>
    <row r="282" spans="1:17" ht="15.75" customHeight="1" x14ac:dyDescent="0.35">
      <c r="A282" s="40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</row>
    <row r="283" spans="1:17" ht="15.75" customHeight="1" x14ac:dyDescent="0.35">
      <c r="A283" s="40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</row>
    <row r="284" spans="1:17" ht="15.75" customHeight="1" x14ac:dyDescent="0.35">
      <c r="A284" s="40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</row>
    <row r="285" spans="1:17" ht="15.75" customHeight="1" x14ac:dyDescent="0.35">
      <c r="A285" s="40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</row>
    <row r="286" spans="1:17" ht="15.75" customHeight="1" x14ac:dyDescent="0.35">
      <c r="A286" s="40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</row>
    <row r="287" spans="1:17" ht="15.75" customHeight="1" x14ac:dyDescent="0.35">
      <c r="A287" s="40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</row>
    <row r="288" spans="1:17" ht="15.75" customHeight="1" x14ac:dyDescent="0.35">
      <c r="A288" s="40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</row>
    <row r="289" spans="1:17" ht="15.75" customHeight="1" x14ac:dyDescent="0.35">
      <c r="A289" s="40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</row>
    <row r="290" spans="1:17" ht="15.75" customHeight="1" x14ac:dyDescent="0.35">
      <c r="A290" s="40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</row>
    <row r="291" spans="1:17" ht="15.75" customHeight="1" x14ac:dyDescent="0.35">
      <c r="A291" s="40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</row>
    <row r="292" spans="1:17" ht="15.75" customHeight="1" x14ac:dyDescent="0.35">
      <c r="A292" s="40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</row>
    <row r="293" spans="1:17" ht="15.75" customHeight="1" x14ac:dyDescent="0.35">
      <c r="A293" s="40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</row>
    <row r="294" spans="1:17" ht="15.75" customHeight="1" x14ac:dyDescent="0.35">
      <c r="A294" s="40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</row>
    <row r="295" spans="1:17" ht="15.75" customHeight="1" x14ac:dyDescent="0.35">
      <c r="A295" s="40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</row>
    <row r="296" spans="1:17" ht="15.75" customHeight="1" x14ac:dyDescent="0.35">
      <c r="A296" s="40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</row>
    <row r="297" spans="1:17" ht="15.75" customHeight="1" x14ac:dyDescent="0.35">
      <c r="A297" s="40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</row>
    <row r="298" spans="1:17" ht="15.75" customHeight="1" x14ac:dyDescent="0.35">
      <c r="A298" s="40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</row>
    <row r="299" spans="1:17" ht="15.75" customHeight="1" x14ac:dyDescent="0.35">
      <c r="A299" s="40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</row>
    <row r="300" spans="1:17" ht="15.75" customHeight="1" x14ac:dyDescent="0.35">
      <c r="A300" s="40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</row>
    <row r="301" spans="1:17" ht="15.75" customHeight="1" x14ac:dyDescent="0.35">
      <c r="A301" s="40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</row>
    <row r="302" spans="1:17" ht="15.75" customHeight="1" x14ac:dyDescent="0.35">
      <c r="A302" s="40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</row>
    <row r="303" spans="1:17" ht="15.75" customHeight="1" x14ac:dyDescent="0.35">
      <c r="A303" s="40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</row>
    <row r="304" spans="1:17" ht="15.75" customHeight="1" x14ac:dyDescent="0.35">
      <c r="A304" s="40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</row>
    <row r="305" spans="1:17" ht="15.75" customHeight="1" x14ac:dyDescent="0.35">
      <c r="A305" s="40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</row>
    <row r="306" spans="1:17" ht="15.75" customHeight="1" x14ac:dyDescent="0.35">
      <c r="A306" s="40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</row>
    <row r="307" spans="1:17" ht="15.75" customHeight="1" x14ac:dyDescent="0.35">
      <c r="A307" s="40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</row>
    <row r="308" spans="1:17" ht="15.75" customHeight="1" x14ac:dyDescent="0.35">
      <c r="A308" s="40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</row>
    <row r="309" spans="1:17" ht="15.75" customHeight="1" x14ac:dyDescent="0.35">
      <c r="A309" s="40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</row>
    <row r="310" spans="1:17" ht="15.75" customHeight="1" x14ac:dyDescent="0.35">
      <c r="A310" s="40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</row>
    <row r="311" spans="1:17" ht="15.75" customHeight="1" x14ac:dyDescent="0.35">
      <c r="A311" s="40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</row>
    <row r="312" spans="1:17" ht="15.75" customHeight="1" x14ac:dyDescent="0.35">
      <c r="A312" s="40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</row>
    <row r="313" spans="1:17" ht="15.75" customHeight="1" x14ac:dyDescent="0.35">
      <c r="A313" s="40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</row>
    <row r="314" spans="1:17" ht="15.75" customHeight="1" x14ac:dyDescent="0.35">
      <c r="A314" s="40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</row>
    <row r="315" spans="1:17" ht="15.75" customHeight="1" x14ac:dyDescent="0.35">
      <c r="A315" s="40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</row>
    <row r="316" spans="1:17" ht="15.75" customHeight="1" x14ac:dyDescent="0.35">
      <c r="A316" s="40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</row>
    <row r="317" spans="1:17" ht="15.75" customHeight="1" x14ac:dyDescent="0.35">
      <c r="A317" s="40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</row>
    <row r="318" spans="1:17" ht="15.75" customHeight="1" x14ac:dyDescent="0.35">
      <c r="A318" s="40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</row>
    <row r="319" spans="1:17" ht="15.75" customHeight="1" x14ac:dyDescent="0.35">
      <c r="A319" s="40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</row>
    <row r="320" spans="1:17" ht="15.75" customHeight="1" x14ac:dyDescent="0.35">
      <c r="A320" s="40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</row>
    <row r="321" spans="1:17" ht="15.75" customHeight="1" x14ac:dyDescent="0.35">
      <c r="A321" s="40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</row>
    <row r="322" spans="1:17" ht="15.75" customHeight="1" x14ac:dyDescent="0.35">
      <c r="A322" s="40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</row>
    <row r="323" spans="1:17" ht="15.75" customHeight="1" x14ac:dyDescent="0.35">
      <c r="A323" s="40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</row>
    <row r="324" spans="1:17" ht="15.75" customHeight="1" x14ac:dyDescent="0.35">
      <c r="A324" s="40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</row>
    <row r="325" spans="1:17" ht="15.75" customHeight="1" x14ac:dyDescent="0.35">
      <c r="A325" s="40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</row>
    <row r="326" spans="1:17" ht="15.75" customHeight="1" x14ac:dyDescent="0.35">
      <c r="A326" s="40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</row>
    <row r="327" spans="1:17" ht="15.75" customHeight="1" x14ac:dyDescent="0.35">
      <c r="A327" s="40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</row>
    <row r="328" spans="1:17" ht="15.75" customHeight="1" x14ac:dyDescent="0.35">
      <c r="A328" s="40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</row>
    <row r="329" spans="1:17" ht="15.75" customHeight="1" x14ac:dyDescent="0.35">
      <c r="A329" s="40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</row>
    <row r="330" spans="1:17" ht="15.75" customHeight="1" x14ac:dyDescent="0.35">
      <c r="A330" s="40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</row>
    <row r="331" spans="1:17" ht="15.75" customHeight="1" x14ac:dyDescent="0.35">
      <c r="A331" s="40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</row>
    <row r="332" spans="1:17" ht="15.75" customHeight="1" x14ac:dyDescent="0.35">
      <c r="A332" s="40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</row>
    <row r="333" spans="1:17" ht="15.75" customHeight="1" x14ac:dyDescent="0.35">
      <c r="A333" s="40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</row>
    <row r="334" spans="1:17" ht="15.75" customHeight="1" x14ac:dyDescent="0.35">
      <c r="A334" s="40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</row>
    <row r="335" spans="1:17" ht="15.75" customHeight="1" x14ac:dyDescent="0.35">
      <c r="A335" s="40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</row>
    <row r="336" spans="1:17" ht="15.75" customHeight="1" x14ac:dyDescent="0.35">
      <c r="A336" s="40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</row>
    <row r="337" spans="1:17" ht="15.75" customHeight="1" x14ac:dyDescent="0.35">
      <c r="A337" s="40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</row>
    <row r="338" spans="1:17" ht="15.75" customHeight="1" x14ac:dyDescent="0.35">
      <c r="A338" s="40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</row>
    <row r="339" spans="1:17" ht="15.75" customHeight="1" x14ac:dyDescent="0.35">
      <c r="A339" s="40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</row>
    <row r="340" spans="1:17" ht="15.75" customHeight="1" x14ac:dyDescent="0.35">
      <c r="A340" s="40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</row>
    <row r="341" spans="1:17" ht="15.75" customHeight="1" x14ac:dyDescent="0.35">
      <c r="A341" s="40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</row>
    <row r="342" spans="1:17" ht="15.75" customHeight="1" x14ac:dyDescent="0.35">
      <c r="A342" s="40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</row>
    <row r="343" spans="1:17" ht="15.75" customHeight="1" x14ac:dyDescent="0.35">
      <c r="A343" s="40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</row>
    <row r="344" spans="1:17" ht="15.75" customHeight="1" x14ac:dyDescent="0.35">
      <c r="A344" s="40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</row>
    <row r="345" spans="1:17" ht="15.75" customHeight="1" x14ac:dyDescent="0.35">
      <c r="A345" s="40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</row>
    <row r="346" spans="1:17" ht="15.75" customHeight="1" x14ac:dyDescent="0.35">
      <c r="A346" s="40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</row>
    <row r="347" spans="1:17" ht="15.75" customHeight="1" x14ac:dyDescent="0.35">
      <c r="A347" s="40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</row>
    <row r="348" spans="1:17" ht="15.75" customHeight="1" x14ac:dyDescent="0.35">
      <c r="A348" s="40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</row>
    <row r="349" spans="1:17" ht="15.75" customHeight="1" x14ac:dyDescent="0.35">
      <c r="A349" s="40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</row>
    <row r="350" spans="1:17" ht="15.75" customHeight="1" x14ac:dyDescent="0.35">
      <c r="A350" s="40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</row>
    <row r="351" spans="1:17" ht="15.75" customHeight="1" x14ac:dyDescent="0.35">
      <c r="A351" s="40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</row>
    <row r="352" spans="1:17" ht="15.75" customHeight="1" x14ac:dyDescent="0.35">
      <c r="A352" s="40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</row>
    <row r="353" spans="1:17" ht="15.75" customHeight="1" x14ac:dyDescent="0.35">
      <c r="A353" s="40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</row>
    <row r="354" spans="1:17" ht="15.75" customHeight="1" x14ac:dyDescent="0.35">
      <c r="A354" s="40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</row>
    <row r="355" spans="1:17" ht="15.75" customHeight="1" x14ac:dyDescent="0.35">
      <c r="A355" s="40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</row>
    <row r="356" spans="1:17" ht="15.75" customHeight="1" x14ac:dyDescent="0.35">
      <c r="A356" s="40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</row>
    <row r="357" spans="1:17" ht="15.75" customHeight="1" x14ac:dyDescent="0.35">
      <c r="A357" s="40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</row>
    <row r="358" spans="1:17" ht="15.75" customHeight="1" x14ac:dyDescent="0.35">
      <c r="A358" s="40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</row>
    <row r="359" spans="1:17" ht="15.75" customHeight="1" x14ac:dyDescent="0.35">
      <c r="A359" s="40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</row>
    <row r="360" spans="1:17" ht="15.75" customHeight="1" x14ac:dyDescent="0.35">
      <c r="A360" s="40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</row>
    <row r="361" spans="1:17" ht="15.75" customHeight="1" x14ac:dyDescent="0.35">
      <c r="A361" s="40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</row>
    <row r="362" spans="1:17" ht="15.75" customHeight="1" x14ac:dyDescent="0.35">
      <c r="A362" s="40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</row>
    <row r="363" spans="1:17" ht="15.75" customHeight="1" x14ac:dyDescent="0.35">
      <c r="A363" s="40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</row>
    <row r="364" spans="1:17" ht="15.75" customHeight="1" x14ac:dyDescent="0.35">
      <c r="A364" s="40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</row>
    <row r="365" spans="1:17" ht="15.75" customHeight="1" x14ac:dyDescent="0.35">
      <c r="A365" s="40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</row>
    <row r="366" spans="1:17" ht="15.75" customHeight="1" x14ac:dyDescent="0.35">
      <c r="A366" s="40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</row>
    <row r="367" spans="1:17" ht="15.75" customHeight="1" x14ac:dyDescent="0.35">
      <c r="A367" s="40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</row>
    <row r="368" spans="1:17" ht="15.75" customHeight="1" x14ac:dyDescent="0.35">
      <c r="A368" s="40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</row>
    <row r="369" spans="1:17" ht="15.75" customHeight="1" x14ac:dyDescent="0.35">
      <c r="A369" s="40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</row>
    <row r="370" spans="1:17" ht="15.75" customHeight="1" x14ac:dyDescent="0.35">
      <c r="A370" s="40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</row>
    <row r="371" spans="1:17" ht="15.75" customHeight="1" x14ac:dyDescent="0.35">
      <c r="A371" s="40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</row>
    <row r="372" spans="1:17" ht="15.75" customHeight="1" x14ac:dyDescent="0.35">
      <c r="A372" s="40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</row>
    <row r="373" spans="1:17" ht="15.75" customHeight="1" x14ac:dyDescent="0.35">
      <c r="A373" s="40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</row>
    <row r="374" spans="1:17" ht="15.75" customHeight="1" x14ac:dyDescent="0.35">
      <c r="A374" s="40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</row>
    <row r="375" spans="1:17" ht="15.75" customHeight="1" x14ac:dyDescent="0.35">
      <c r="A375" s="40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</row>
    <row r="376" spans="1:17" ht="15.75" customHeight="1" x14ac:dyDescent="0.35">
      <c r="A376" s="40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</row>
    <row r="377" spans="1:17" ht="15.75" customHeight="1" x14ac:dyDescent="0.35">
      <c r="A377" s="40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</row>
    <row r="378" spans="1:17" ht="15.75" customHeight="1" x14ac:dyDescent="0.35">
      <c r="A378" s="40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</row>
    <row r="379" spans="1:17" ht="15.75" customHeight="1" x14ac:dyDescent="0.35">
      <c r="A379" s="40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</row>
    <row r="380" spans="1:17" ht="15.75" customHeight="1" x14ac:dyDescent="0.35">
      <c r="A380" s="40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</row>
    <row r="381" spans="1:17" ht="15.75" customHeight="1" x14ac:dyDescent="0.35">
      <c r="A381" s="40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</row>
    <row r="382" spans="1:17" ht="15.75" customHeight="1" x14ac:dyDescent="0.35">
      <c r="A382" s="40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</row>
    <row r="383" spans="1:17" ht="15.75" customHeight="1" x14ac:dyDescent="0.35">
      <c r="A383" s="40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</row>
    <row r="384" spans="1:17" ht="15.75" customHeight="1" x14ac:dyDescent="0.35">
      <c r="A384" s="40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</row>
    <row r="385" spans="1:17" ht="15.75" customHeight="1" x14ac:dyDescent="0.35">
      <c r="A385" s="40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</row>
    <row r="386" spans="1:17" ht="15.75" customHeight="1" x14ac:dyDescent="0.35">
      <c r="A386" s="40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</row>
    <row r="387" spans="1:17" ht="15.75" customHeight="1" x14ac:dyDescent="0.35">
      <c r="A387" s="40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</row>
    <row r="388" spans="1:17" ht="15.75" customHeight="1" x14ac:dyDescent="0.35">
      <c r="A388" s="40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</row>
    <row r="389" spans="1:17" ht="15.75" customHeight="1" x14ac:dyDescent="0.35">
      <c r="A389" s="40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</row>
    <row r="390" spans="1:17" ht="15.75" customHeight="1" x14ac:dyDescent="0.35">
      <c r="A390" s="40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</row>
    <row r="391" spans="1:17" ht="15.75" customHeight="1" x14ac:dyDescent="0.35">
      <c r="A391" s="40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</row>
    <row r="392" spans="1:17" ht="15.75" customHeight="1" x14ac:dyDescent="0.35">
      <c r="A392" s="40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</row>
    <row r="393" spans="1:17" ht="15.75" customHeight="1" x14ac:dyDescent="0.35">
      <c r="A393" s="40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</row>
    <row r="394" spans="1:17" ht="15.75" customHeight="1" x14ac:dyDescent="0.35">
      <c r="A394" s="40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</row>
    <row r="395" spans="1:17" ht="15.75" customHeight="1" x14ac:dyDescent="0.35">
      <c r="A395" s="40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</row>
    <row r="396" spans="1:17" ht="15.75" customHeight="1" x14ac:dyDescent="0.35">
      <c r="A396" s="40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</row>
    <row r="397" spans="1:17" ht="15.75" customHeight="1" x14ac:dyDescent="0.35">
      <c r="A397" s="40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</row>
    <row r="398" spans="1:17" ht="15.75" customHeight="1" x14ac:dyDescent="0.35">
      <c r="A398" s="40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</row>
    <row r="399" spans="1:17" ht="15.75" customHeight="1" x14ac:dyDescent="0.35">
      <c r="A399" s="40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</row>
    <row r="400" spans="1:17" ht="15.75" customHeight="1" x14ac:dyDescent="0.35">
      <c r="A400" s="40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</row>
    <row r="401" spans="1:17" ht="15.75" customHeight="1" x14ac:dyDescent="0.35">
      <c r="A401" s="40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</row>
    <row r="402" spans="1:17" ht="15.75" customHeight="1" x14ac:dyDescent="0.35">
      <c r="A402" s="40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</row>
    <row r="403" spans="1:17" ht="15.75" customHeight="1" x14ac:dyDescent="0.35">
      <c r="A403" s="40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</row>
    <row r="404" spans="1:17" ht="15.75" customHeight="1" x14ac:dyDescent="0.35">
      <c r="A404" s="40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</row>
    <row r="405" spans="1:17" ht="15.75" customHeight="1" x14ac:dyDescent="0.35">
      <c r="A405" s="40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</row>
    <row r="406" spans="1:17" ht="15.75" customHeight="1" x14ac:dyDescent="0.35">
      <c r="A406" s="40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</row>
    <row r="407" spans="1:17" ht="15.75" customHeight="1" x14ac:dyDescent="0.35">
      <c r="A407" s="40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</row>
    <row r="408" spans="1:17" ht="15.75" customHeight="1" x14ac:dyDescent="0.35">
      <c r="A408" s="40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</row>
    <row r="409" spans="1:17" ht="15.75" customHeight="1" x14ac:dyDescent="0.35">
      <c r="A409" s="40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</row>
    <row r="410" spans="1:17" ht="15.75" customHeight="1" x14ac:dyDescent="0.35">
      <c r="A410" s="40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</row>
    <row r="411" spans="1:17" ht="15.75" customHeight="1" x14ac:dyDescent="0.35">
      <c r="A411" s="40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</row>
    <row r="412" spans="1:17" ht="15.75" customHeight="1" x14ac:dyDescent="0.35">
      <c r="A412" s="40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</row>
    <row r="413" spans="1:17" ht="15.75" customHeight="1" x14ac:dyDescent="0.35">
      <c r="A413" s="40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</row>
    <row r="414" spans="1:17" ht="15.75" customHeight="1" x14ac:dyDescent="0.35">
      <c r="A414" s="40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</row>
    <row r="415" spans="1:17" ht="15.75" customHeight="1" x14ac:dyDescent="0.35">
      <c r="A415" s="40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</row>
    <row r="416" spans="1:17" ht="15.75" customHeight="1" x14ac:dyDescent="0.35">
      <c r="A416" s="40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</row>
    <row r="417" spans="1:17" ht="15.75" customHeight="1" x14ac:dyDescent="0.35">
      <c r="A417" s="40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</row>
    <row r="418" spans="1:17" ht="15.75" customHeight="1" x14ac:dyDescent="0.35">
      <c r="A418" s="40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</row>
    <row r="419" spans="1:17" ht="15.75" customHeight="1" x14ac:dyDescent="0.35">
      <c r="A419" s="40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</row>
    <row r="420" spans="1:17" ht="15.75" customHeight="1" x14ac:dyDescent="0.35">
      <c r="A420" s="40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</row>
    <row r="421" spans="1:17" ht="15.75" customHeight="1" x14ac:dyDescent="0.35">
      <c r="A421" s="40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</row>
    <row r="422" spans="1:17" ht="15.75" customHeight="1" x14ac:dyDescent="0.35">
      <c r="A422" s="40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</row>
    <row r="423" spans="1:17" ht="15.75" customHeight="1" x14ac:dyDescent="0.35">
      <c r="A423" s="40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</row>
    <row r="424" spans="1:17" ht="15.75" customHeight="1" x14ac:dyDescent="0.35">
      <c r="A424" s="40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</row>
    <row r="425" spans="1:17" ht="15.75" customHeight="1" x14ac:dyDescent="0.35">
      <c r="A425" s="40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</row>
    <row r="426" spans="1:17" ht="15.75" customHeight="1" x14ac:dyDescent="0.35">
      <c r="A426" s="40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</row>
    <row r="427" spans="1:17" ht="15.75" customHeight="1" x14ac:dyDescent="0.35">
      <c r="A427" s="40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</row>
    <row r="428" spans="1:17" ht="15.75" customHeight="1" x14ac:dyDescent="0.35">
      <c r="A428" s="40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</row>
    <row r="429" spans="1:17" ht="15.75" customHeight="1" x14ac:dyDescent="0.35">
      <c r="A429" s="40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</row>
    <row r="430" spans="1:17" ht="15.75" customHeight="1" x14ac:dyDescent="0.35">
      <c r="A430" s="40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</row>
    <row r="431" spans="1:17" ht="15.75" customHeight="1" x14ac:dyDescent="0.35">
      <c r="A431" s="40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</row>
    <row r="432" spans="1:17" ht="15.75" customHeight="1" x14ac:dyDescent="0.35">
      <c r="A432" s="40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</row>
    <row r="433" spans="1:17" ht="15.75" customHeight="1" x14ac:dyDescent="0.35">
      <c r="A433" s="40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</row>
    <row r="434" spans="1:17" ht="15.75" customHeight="1" x14ac:dyDescent="0.35">
      <c r="A434" s="40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</row>
    <row r="435" spans="1:17" ht="15.75" customHeight="1" x14ac:dyDescent="0.35">
      <c r="A435" s="40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</row>
    <row r="436" spans="1:17" ht="15.75" customHeight="1" x14ac:dyDescent="0.35">
      <c r="A436" s="40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</row>
    <row r="437" spans="1:17" ht="15.75" customHeight="1" x14ac:dyDescent="0.35">
      <c r="A437" s="40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</row>
    <row r="438" spans="1:17" ht="15.75" customHeight="1" x14ac:dyDescent="0.35">
      <c r="A438" s="40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</row>
    <row r="439" spans="1:17" ht="15.75" customHeight="1" x14ac:dyDescent="0.35">
      <c r="A439" s="40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</row>
    <row r="440" spans="1:17" ht="15.75" customHeight="1" x14ac:dyDescent="0.35">
      <c r="A440" s="40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</row>
    <row r="441" spans="1:17" ht="15.75" customHeight="1" x14ac:dyDescent="0.35">
      <c r="A441" s="40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</row>
    <row r="442" spans="1:17" ht="15.75" customHeight="1" x14ac:dyDescent="0.35">
      <c r="A442" s="40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</row>
    <row r="443" spans="1:17" ht="15.75" customHeight="1" x14ac:dyDescent="0.35">
      <c r="A443" s="40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</row>
    <row r="444" spans="1:17" ht="15.75" customHeight="1" x14ac:dyDescent="0.35">
      <c r="A444" s="40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</row>
    <row r="445" spans="1:17" ht="15.75" customHeight="1" x14ac:dyDescent="0.35">
      <c r="A445" s="40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</row>
    <row r="446" spans="1:17" ht="15.75" customHeight="1" x14ac:dyDescent="0.35">
      <c r="A446" s="40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</row>
    <row r="447" spans="1:17" ht="15.75" customHeight="1" x14ac:dyDescent="0.35">
      <c r="A447" s="40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</row>
    <row r="448" spans="1:17" ht="15.75" customHeight="1" x14ac:dyDescent="0.35">
      <c r="A448" s="40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</row>
    <row r="449" spans="1:17" ht="15.75" customHeight="1" x14ac:dyDescent="0.35">
      <c r="A449" s="40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</row>
    <row r="450" spans="1:17" ht="15.75" customHeight="1" x14ac:dyDescent="0.35">
      <c r="A450" s="40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</row>
    <row r="451" spans="1:17" ht="15.75" customHeight="1" x14ac:dyDescent="0.35">
      <c r="A451" s="40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</row>
    <row r="452" spans="1:17" ht="15.75" customHeight="1" x14ac:dyDescent="0.35">
      <c r="A452" s="40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</row>
    <row r="453" spans="1:17" ht="15.75" customHeight="1" x14ac:dyDescent="0.35">
      <c r="A453" s="40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</row>
    <row r="454" spans="1:17" ht="15.75" customHeight="1" x14ac:dyDescent="0.35">
      <c r="A454" s="40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</row>
    <row r="455" spans="1:17" ht="15.75" customHeight="1" x14ac:dyDescent="0.35">
      <c r="A455" s="40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</row>
    <row r="456" spans="1:17" ht="15.75" customHeight="1" x14ac:dyDescent="0.35">
      <c r="A456" s="40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</row>
    <row r="457" spans="1:17" ht="15.75" customHeight="1" x14ac:dyDescent="0.35">
      <c r="A457" s="40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</row>
    <row r="458" spans="1:17" ht="15.75" customHeight="1" x14ac:dyDescent="0.35">
      <c r="A458" s="40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</row>
    <row r="459" spans="1:17" ht="15.75" customHeight="1" x14ac:dyDescent="0.35">
      <c r="A459" s="40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</row>
    <row r="460" spans="1:17" ht="15.75" customHeight="1" x14ac:dyDescent="0.35">
      <c r="A460" s="40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</row>
    <row r="461" spans="1:17" ht="15.75" customHeight="1" x14ac:dyDescent="0.35">
      <c r="A461" s="40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</row>
    <row r="462" spans="1:17" ht="15.75" customHeight="1" x14ac:dyDescent="0.35">
      <c r="A462" s="40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</row>
    <row r="463" spans="1:17" ht="15.75" customHeight="1" x14ac:dyDescent="0.35">
      <c r="A463" s="40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</row>
    <row r="464" spans="1:17" ht="15.75" customHeight="1" x14ac:dyDescent="0.35">
      <c r="A464" s="40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</row>
    <row r="465" spans="1:17" ht="15.75" customHeight="1" x14ac:dyDescent="0.35">
      <c r="A465" s="40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</row>
    <row r="466" spans="1:17" ht="15.75" customHeight="1" x14ac:dyDescent="0.35">
      <c r="A466" s="40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</row>
    <row r="467" spans="1:17" ht="15.75" customHeight="1" x14ac:dyDescent="0.35">
      <c r="A467" s="40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</row>
    <row r="468" spans="1:17" ht="15.75" customHeight="1" x14ac:dyDescent="0.35">
      <c r="A468" s="40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</row>
    <row r="469" spans="1:17" ht="15.75" customHeight="1" x14ac:dyDescent="0.35">
      <c r="A469" s="40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</row>
    <row r="470" spans="1:17" ht="15.75" customHeight="1" x14ac:dyDescent="0.35">
      <c r="A470" s="40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</row>
    <row r="471" spans="1:17" ht="15.75" customHeight="1" x14ac:dyDescent="0.35">
      <c r="A471" s="40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</row>
    <row r="472" spans="1:17" ht="15.75" customHeight="1" x14ac:dyDescent="0.35">
      <c r="A472" s="40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</row>
    <row r="473" spans="1:17" ht="15.75" customHeight="1" x14ac:dyDescent="0.35">
      <c r="A473" s="40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</row>
    <row r="474" spans="1:17" ht="15.75" customHeight="1" x14ac:dyDescent="0.35">
      <c r="A474" s="40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</row>
    <row r="475" spans="1:17" ht="15.75" customHeight="1" x14ac:dyDescent="0.35">
      <c r="A475" s="40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</row>
    <row r="476" spans="1:17" ht="15.75" customHeight="1" x14ac:dyDescent="0.35">
      <c r="A476" s="40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</row>
    <row r="477" spans="1:17" ht="15.75" customHeight="1" x14ac:dyDescent="0.35">
      <c r="A477" s="40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</row>
    <row r="478" spans="1:17" ht="15.75" customHeight="1" x14ac:dyDescent="0.35">
      <c r="A478" s="40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</row>
    <row r="479" spans="1:17" ht="15.75" customHeight="1" x14ac:dyDescent="0.35">
      <c r="A479" s="40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</row>
    <row r="480" spans="1:17" ht="15.75" customHeight="1" x14ac:dyDescent="0.35">
      <c r="A480" s="40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</row>
    <row r="481" spans="1:17" ht="15.75" customHeight="1" x14ac:dyDescent="0.35">
      <c r="A481" s="40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</row>
    <row r="482" spans="1:17" ht="15.75" customHeight="1" x14ac:dyDescent="0.35">
      <c r="A482" s="40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</row>
    <row r="483" spans="1:17" ht="15.75" customHeight="1" x14ac:dyDescent="0.35">
      <c r="A483" s="40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</row>
    <row r="484" spans="1:17" ht="15.75" customHeight="1" x14ac:dyDescent="0.35">
      <c r="A484" s="40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</row>
    <row r="485" spans="1:17" ht="15.75" customHeight="1" x14ac:dyDescent="0.35">
      <c r="A485" s="40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</row>
    <row r="486" spans="1:17" ht="15.75" customHeight="1" x14ac:dyDescent="0.35">
      <c r="A486" s="40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</row>
    <row r="487" spans="1:17" ht="15.75" customHeight="1" x14ac:dyDescent="0.35">
      <c r="A487" s="40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</row>
    <row r="488" spans="1:17" ht="15.75" customHeight="1" x14ac:dyDescent="0.35">
      <c r="A488" s="40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</row>
    <row r="489" spans="1:17" ht="15.75" customHeight="1" x14ac:dyDescent="0.35">
      <c r="A489" s="40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</row>
    <row r="490" spans="1:17" ht="15.75" customHeight="1" x14ac:dyDescent="0.35">
      <c r="A490" s="40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</row>
    <row r="491" spans="1:17" ht="15.75" customHeight="1" x14ac:dyDescent="0.35">
      <c r="A491" s="40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</row>
    <row r="492" spans="1:17" ht="15.75" customHeight="1" x14ac:dyDescent="0.35">
      <c r="A492" s="40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</row>
    <row r="493" spans="1:17" ht="15.75" customHeight="1" x14ac:dyDescent="0.35">
      <c r="A493" s="40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</row>
    <row r="494" spans="1:17" ht="15.75" customHeight="1" x14ac:dyDescent="0.35">
      <c r="A494" s="40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</row>
    <row r="495" spans="1:17" ht="15.75" customHeight="1" x14ac:dyDescent="0.35">
      <c r="A495" s="40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</row>
    <row r="496" spans="1:17" ht="15.75" customHeight="1" x14ac:dyDescent="0.35">
      <c r="A496" s="40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</row>
    <row r="497" spans="1:17" ht="15.75" customHeight="1" x14ac:dyDescent="0.35">
      <c r="A497" s="40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</row>
    <row r="498" spans="1:17" ht="15.75" customHeight="1" x14ac:dyDescent="0.35">
      <c r="A498" s="40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</row>
    <row r="499" spans="1:17" ht="15.75" customHeight="1" x14ac:dyDescent="0.35">
      <c r="A499" s="40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</row>
    <row r="500" spans="1:17" ht="15.75" customHeight="1" x14ac:dyDescent="0.35">
      <c r="A500" s="40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</row>
    <row r="501" spans="1:17" ht="15.75" customHeight="1" x14ac:dyDescent="0.35">
      <c r="A501" s="40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</row>
    <row r="502" spans="1:17" ht="15.75" customHeight="1" x14ac:dyDescent="0.35">
      <c r="A502" s="40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</row>
    <row r="503" spans="1:17" ht="15.75" customHeight="1" x14ac:dyDescent="0.35">
      <c r="A503" s="40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</row>
    <row r="504" spans="1:17" ht="15.75" customHeight="1" x14ac:dyDescent="0.35">
      <c r="A504" s="40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</row>
    <row r="505" spans="1:17" ht="15.75" customHeight="1" x14ac:dyDescent="0.35">
      <c r="A505" s="40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</row>
    <row r="506" spans="1:17" ht="15.75" customHeight="1" x14ac:dyDescent="0.35">
      <c r="A506" s="40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</row>
    <row r="507" spans="1:17" ht="15.75" customHeight="1" x14ac:dyDescent="0.35">
      <c r="A507" s="40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</row>
    <row r="508" spans="1:17" ht="15.75" customHeight="1" x14ac:dyDescent="0.35">
      <c r="A508" s="40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</row>
    <row r="509" spans="1:17" ht="15.75" customHeight="1" x14ac:dyDescent="0.35">
      <c r="A509" s="40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</row>
    <row r="510" spans="1:17" ht="15.75" customHeight="1" x14ac:dyDescent="0.35">
      <c r="A510" s="40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</row>
    <row r="511" spans="1:17" ht="15.75" customHeight="1" x14ac:dyDescent="0.35">
      <c r="A511" s="40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</row>
    <row r="512" spans="1:17" ht="15.75" customHeight="1" x14ac:dyDescent="0.35">
      <c r="A512" s="40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</row>
    <row r="513" spans="1:17" ht="15.75" customHeight="1" x14ac:dyDescent="0.35">
      <c r="A513" s="40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</row>
    <row r="514" spans="1:17" ht="15.75" customHeight="1" x14ac:dyDescent="0.35">
      <c r="A514" s="40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</row>
    <row r="515" spans="1:17" ht="15.75" customHeight="1" x14ac:dyDescent="0.35">
      <c r="A515" s="40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</row>
    <row r="516" spans="1:17" ht="15.75" customHeight="1" x14ac:dyDescent="0.35">
      <c r="A516" s="40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</row>
    <row r="517" spans="1:17" ht="15.75" customHeight="1" x14ac:dyDescent="0.35">
      <c r="A517" s="40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</row>
    <row r="518" spans="1:17" ht="15.75" customHeight="1" x14ac:dyDescent="0.35">
      <c r="A518" s="40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</row>
    <row r="519" spans="1:17" ht="15.75" customHeight="1" x14ac:dyDescent="0.35">
      <c r="A519" s="40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</row>
    <row r="520" spans="1:17" ht="15.75" customHeight="1" x14ac:dyDescent="0.35">
      <c r="A520" s="40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</row>
    <row r="521" spans="1:17" ht="15.75" customHeight="1" x14ac:dyDescent="0.35">
      <c r="A521" s="40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</row>
    <row r="522" spans="1:17" ht="15.75" customHeight="1" x14ac:dyDescent="0.35">
      <c r="A522" s="40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</row>
    <row r="523" spans="1:17" ht="15.75" customHeight="1" x14ac:dyDescent="0.35">
      <c r="A523" s="40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</row>
    <row r="524" spans="1:17" ht="15.75" customHeight="1" x14ac:dyDescent="0.35">
      <c r="A524" s="40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</row>
    <row r="525" spans="1:17" ht="15.75" customHeight="1" x14ac:dyDescent="0.35">
      <c r="A525" s="40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</row>
    <row r="526" spans="1:17" ht="15.75" customHeight="1" x14ac:dyDescent="0.35">
      <c r="A526" s="40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</row>
    <row r="527" spans="1:17" ht="15.75" customHeight="1" x14ac:dyDescent="0.35">
      <c r="A527" s="40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</row>
    <row r="528" spans="1:17" ht="15.75" customHeight="1" x14ac:dyDescent="0.35">
      <c r="A528" s="40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</row>
    <row r="529" spans="1:17" ht="15.75" customHeight="1" x14ac:dyDescent="0.35">
      <c r="A529" s="40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</row>
    <row r="530" spans="1:17" ht="15.75" customHeight="1" x14ac:dyDescent="0.35">
      <c r="A530" s="40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</row>
    <row r="531" spans="1:17" ht="15.75" customHeight="1" x14ac:dyDescent="0.35">
      <c r="A531" s="40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</row>
    <row r="532" spans="1:17" ht="15.75" customHeight="1" x14ac:dyDescent="0.35">
      <c r="A532" s="40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</row>
    <row r="533" spans="1:17" ht="15.75" customHeight="1" x14ac:dyDescent="0.35">
      <c r="A533" s="40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</row>
    <row r="534" spans="1:17" ht="15.75" customHeight="1" x14ac:dyDescent="0.35">
      <c r="A534" s="40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</row>
    <row r="535" spans="1:17" ht="15.75" customHeight="1" x14ac:dyDescent="0.35">
      <c r="A535" s="40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</row>
    <row r="536" spans="1:17" ht="15.75" customHeight="1" x14ac:dyDescent="0.35">
      <c r="A536" s="40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</row>
    <row r="537" spans="1:17" ht="15.75" customHeight="1" x14ac:dyDescent="0.35">
      <c r="A537" s="40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</row>
    <row r="538" spans="1:17" ht="15.75" customHeight="1" x14ac:dyDescent="0.35">
      <c r="A538" s="40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</row>
    <row r="539" spans="1:17" ht="15.75" customHeight="1" x14ac:dyDescent="0.35">
      <c r="A539" s="40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</row>
    <row r="540" spans="1:17" ht="15.75" customHeight="1" x14ac:dyDescent="0.35">
      <c r="A540" s="40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</row>
    <row r="541" spans="1:17" ht="15.75" customHeight="1" x14ac:dyDescent="0.35">
      <c r="A541" s="40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</row>
    <row r="542" spans="1:17" ht="15.75" customHeight="1" x14ac:dyDescent="0.35">
      <c r="A542" s="40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</row>
    <row r="543" spans="1:17" ht="15.75" customHeight="1" x14ac:dyDescent="0.35">
      <c r="A543" s="40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</row>
    <row r="544" spans="1:17" ht="15.75" customHeight="1" x14ac:dyDescent="0.35">
      <c r="A544" s="40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</row>
    <row r="545" spans="1:17" ht="15.75" customHeight="1" x14ac:dyDescent="0.35">
      <c r="A545" s="40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</row>
    <row r="546" spans="1:17" ht="15.75" customHeight="1" x14ac:dyDescent="0.35">
      <c r="A546" s="40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</row>
    <row r="547" spans="1:17" ht="15.75" customHeight="1" x14ac:dyDescent="0.35">
      <c r="A547" s="40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</row>
    <row r="548" spans="1:17" ht="15.75" customHeight="1" x14ac:dyDescent="0.35">
      <c r="A548" s="40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</row>
    <row r="549" spans="1:17" ht="15.75" customHeight="1" x14ac:dyDescent="0.35">
      <c r="A549" s="40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</row>
    <row r="550" spans="1:17" ht="15.75" customHeight="1" x14ac:dyDescent="0.35">
      <c r="A550" s="40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</row>
    <row r="551" spans="1:17" ht="15.75" customHeight="1" x14ac:dyDescent="0.35">
      <c r="A551" s="40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</row>
    <row r="552" spans="1:17" ht="15.75" customHeight="1" x14ac:dyDescent="0.35">
      <c r="A552" s="40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</row>
    <row r="553" spans="1:17" ht="15.75" customHeight="1" x14ac:dyDescent="0.35">
      <c r="A553" s="40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</row>
    <row r="554" spans="1:17" ht="15.75" customHeight="1" x14ac:dyDescent="0.35">
      <c r="A554" s="40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</row>
    <row r="555" spans="1:17" ht="15.75" customHeight="1" x14ac:dyDescent="0.35">
      <c r="A555" s="40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</row>
    <row r="556" spans="1:17" ht="15.75" customHeight="1" x14ac:dyDescent="0.35">
      <c r="A556" s="40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</row>
    <row r="557" spans="1:17" ht="15.75" customHeight="1" x14ac:dyDescent="0.35">
      <c r="A557" s="40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</row>
    <row r="558" spans="1:17" ht="15.75" customHeight="1" x14ac:dyDescent="0.35">
      <c r="A558" s="40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</row>
    <row r="559" spans="1:17" ht="15.75" customHeight="1" x14ac:dyDescent="0.35">
      <c r="A559" s="40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</row>
    <row r="560" spans="1:17" ht="15.75" customHeight="1" x14ac:dyDescent="0.35">
      <c r="A560" s="40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</row>
    <row r="561" spans="1:17" ht="15.75" customHeight="1" x14ac:dyDescent="0.35">
      <c r="A561" s="40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</row>
    <row r="562" spans="1:17" ht="15.75" customHeight="1" x14ac:dyDescent="0.35">
      <c r="A562" s="40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</row>
    <row r="563" spans="1:17" ht="15.75" customHeight="1" x14ac:dyDescent="0.35">
      <c r="A563" s="40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</row>
    <row r="564" spans="1:17" ht="15.75" customHeight="1" x14ac:dyDescent="0.35">
      <c r="A564" s="40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</row>
    <row r="565" spans="1:17" ht="15.75" customHeight="1" x14ac:dyDescent="0.35">
      <c r="A565" s="40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</row>
    <row r="566" spans="1:17" ht="15.75" customHeight="1" x14ac:dyDescent="0.35">
      <c r="A566" s="40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</row>
    <row r="567" spans="1:17" ht="15.75" customHeight="1" x14ac:dyDescent="0.35">
      <c r="A567" s="40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</row>
    <row r="568" spans="1:17" ht="15.75" customHeight="1" x14ac:dyDescent="0.35">
      <c r="A568" s="40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</row>
    <row r="569" spans="1:17" ht="15.75" customHeight="1" x14ac:dyDescent="0.35">
      <c r="A569" s="40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</row>
    <row r="570" spans="1:17" ht="15.75" customHeight="1" x14ac:dyDescent="0.35">
      <c r="A570" s="40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</row>
    <row r="571" spans="1:17" ht="15.75" customHeight="1" x14ac:dyDescent="0.35">
      <c r="A571" s="40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</row>
    <row r="572" spans="1:17" ht="15.75" customHeight="1" x14ac:dyDescent="0.35">
      <c r="A572" s="40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</row>
    <row r="573" spans="1:17" ht="15.75" customHeight="1" x14ac:dyDescent="0.35">
      <c r="A573" s="40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</row>
    <row r="574" spans="1:17" ht="15.75" customHeight="1" x14ac:dyDescent="0.35">
      <c r="A574" s="40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</row>
    <row r="575" spans="1:17" ht="15.75" customHeight="1" x14ac:dyDescent="0.35">
      <c r="A575" s="40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</row>
    <row r="576" spans="1:17" ht="15.75" customHeight="1" x14ac:dyDescent="0.35">
      <c r="A576" s="40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</row>
    <row r="577" spans="1:17" ht="15.75" customHeight="1" x14ac:dyDescent="0.35">
      <c r="A577" s="40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</row>
    <row r="578" spans="1:17" ht="15.75" customHeight="1" x14ac:dyDescent="0.35">
      <c r="A578" s="40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</row>
    <row r="579" spans="1:17" ht="15.75" customHeight="1" x14ac:dyDescent="0.35">
      <c r="A579" s="40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</row>
    <row r="580" spans="1:17" ht="15.75" customHeight="1" x14ac:dyDescent="0.35">
      <c r="A580" s="40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</row>
    <row r="581" spans="1:17" ht="15.75" customHeight="1" x14ac:dyDescent="0.35">
      <c r="A581" s="40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</row>
    <row r="582" spans="1:17" ht="15.75" customHeight="1" x14ac:dyDescent="0.35">
      <c r="A582" s="40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</row>
    <row r="583" spans="1:17" ht="15.75" customHeight="1" x14ac:dyDescent="0.35">
      <c r="A583" s="40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</row>
    <row r="584" spans="1:17" ht="15.75" customHeight="1" x14ac:dyDescent="0.35">
      <c r="A584" s="40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</row>
    <row r="585" spans="1:17" ht="15.75" customHeight="1" x14ac:dyDescent="0.35">
      <c r="A585" s="40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</row>
    <row r="586" spans="1:17" ht="15.75" customHeight="1" x14ac:dyDescent="0.35">
      <c r="A586" s="40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</row>
    <row r="587" spans="1:17" ht="15.75" customHeight="1" x14ac:dyDescent="0.35">
      <c r="A587" s="40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</row>
    <row r="588" spans="1:17" ht="15.75" customHeight="1" x14ac:dyDescent="0.35">
      <c r="A588" s="40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</row>
    <row r="589" spans="1:17" ht="15.75" customHeight="1" x14ac:dyDescent="0.35">
      <c r="A589" s="40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</row>
    <row r="590" spans="1:17" ht="15.75" customHeight="1" x14ac:dyDescent="0.35">
      <c r="A590" s="40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</row>
    <row r="591" spans="1:17" ht="15.75" customHeight="1" x14ac:dyDescent="0.35">
      <c r="A591" s="40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</row>
    <row r="592" spans="1:17" ht="15.75" customHeight="1" x14ac:dyDescent="0.35">
      <c r="A592" s="40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</row>
    <row r="593" spans="1:17" ht="15.75" customHeight="1" x14ac:dyDescent="0.35">
      <c r="A593" s="40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</row>
    <row r="594" spans="1:17" ht="15.75" customHeight="1" x14ac:dyDescent="0.35">
      <c r="A594" s="40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</row>
    <row r="595" spans="1:17" ht="15.75" customHeight="1" x14ac:dyDescent="0.35">
      <c r="A595" s="40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</row>
    <row r="596" spans="1:17" ht="15.75" customHeight="1" x14ac:dyDescent="0.35">
      <c r="A596" s="40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</row>
    <row r="597" spans="1:17" ht="15.75" customHeight="1" x14ac:dyDescent="0.35">
      <c r="A597" s="40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</row>
    <row r="598" spans="1:17" ht="15.75" customHeight="1" x14ac:dyDescent="0.35">
      <c r="A598" s="40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</row>
    <row r="599" spans="1:17" ht="15.75" customHeight="1" x14ac:dyDescent="0.35">
      <c r="A599" s="40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</row>
    <row r="600" spans="1:17" ht="15.75" customHeight="1" x14ac:dyDescent="0.35">
      <c r="A600" s="40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</row>
    <row r="601" spans="1:17" ht="15.75" customHeight="1" x14ac:dyDescent="0.35">
      <c r="A601" s="40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</row>
    <row r="602" spans="1:17" ht="15.75" customHeight="1" x14ac:dyDescent="0.35">
      <c r="A602" s="40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</row>
    <row r="603" spans="1:17" ht="15.75" customHeight="1" x14ac:dyDescent="0.35">
      <c r="A603" s="40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</row>
    <row r="604" spans="1:17" ht="15.75" customHeight="1" x14ac:dyDescent="0.35">
      <c r="A604" s="40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</row>
    <row r="605" spans="1:17" ht="15.75" customHeight="1" x14ac:dyDescent="0.35">
      <c r="A605" s="40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</row>
    <row r="606" spans="1:17" ht="15.75" customHeight="1" x14ac:dyDescent="0.35">
      <c r="A606" s="40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</row>
    <row r="607" spans="1:17" ht="15.75" customHeight="1" x14ac:dyDescent="0.35">
      <c r="A607" s="40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</row>
    <row r="608" spans="1:17" ht="15.75" customHeight="1" x14ac:dyDescent="0.35">
      <c r="A608" s="40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</row>
    <row r="609" spans="1:17" ht="15.75" customHeight="1" x14ac:dyDescent="0.35">
      <c r="A609" s="40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</row>
    <row r="610" spans="1:17" ht="15.75" customHeight="1" x14ac:dyDescent="0.35">
      <c r="A610" s="40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</row>
    <row r="611" spans="1:17" ht="15.75" customHeight="1" x14ac:dyDescent="0.35">
      <c r="A611" s="40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</row>
    <row r="612" spans="1:17" ht="15.75" customHeight="1" x14ac:dyDescent="0.35">
      <c r="A612" s="40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</row>
    <row r="613" spans="1:17" ht="15.75" customHeight="1" x14ac:dyDescent="0.35">
      <c r="A613" s="40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</row>
    <row r="614" spans="1:17" ht="15.75" customHeight="1" x14ac:dyDescent="0.35">
      <c r="A614" s="40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</row>
    <row r="615" spans="1:17" ht="15.75" customHeight="1" x14ac:dyDescent="0.35">
      <c r="A615" s="40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</row>
    <row r="616" spans="1:17" ht="15.75" customHeight="1" x14ac:dyDescent="0.35">
      <c r="A616" s="40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</row>
    <row r="617" spans="1:17" ht="15.75" customHeight="1" x14ac:dyDescent="0.35">
      <c r="A617" s="40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</row>
    <row r="618" spans="1:17" ht="15.75" customHeight="1" x14ac:dyDescent="0.35">
      <c r="A618" s="40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</row>
    <row r="619" spans="1:17" ht="15.75" customHeight="1" x14ac:dyDescent="0.35">
      <c r="A619" s="40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</row>
    <row r="620" spans="1:17" ht="15.75" customHeight="1" x14ac:dyDescent="0.35">
      <c r="A620" s="40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</row>
    <row r="621" spans="1:17" ht="15.75" customHeight="1" x14ac:dyDescent="0.35">
      <c r="A621" s="40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</row>
    <row r="622" spans="1:17" ht="15.75" customHeight="1" x14ac:dyDescent="0.35">
      <c r="A622" s="40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</row>
    <row r="623" spans="1:17" ht="15.75" customHeight="1" x14ac:dyDescent="0.35">
      <c r="A623" s="40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</row>
    <row r="624" spans="1:17" ht="15.75" customHeight="1" x14ac:dyDescent="0.35">
      <c r="A624" s="40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</row>
    <row r="625" spans="1:17" ht="15.75" customHeight="1" x14ac:dyDescent="0.35">
      <c r="A625" s="40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</row>
    <row r="626" spans="1:17" ht="15.75" customHeight="1" x14ac:dyDescent="0.35">
      <c r="A626" s="40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</row>
    <row r="627" spans="1:17" ht="15.75" customHeight="1" x14ac:dyDescent="0.35">
      <c r="A627" s="40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</row>
    <row r="628" spans="1:17" ht="15.75" customHeight="1" x14ac:dyDescent="0.35">
      <c r="A628" s="40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</row>
    <row r="629" spans="1:17" ht="15.75" customHeight="1" x14ac:dyDescent="0.35">
      <c r="A629" s="40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</row>
    <row r="630" spans="1:17" ht="15.75" customHeight="1" x14ac:dyDescent="0.35">
      <c r="A630" s="40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</row>
    <row r="631" spans="1:17" ht="15.75" customHeight="1" x14ac:dyDescent="0.35">
      <c r="A631" s="40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</row>
    <row r="632" spans="1:17" ht="15.75" customHeight="1" x14ac:dyDescent="0.35">
      <c r="A632" s="40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</row>
    <row r="633" spans="1:17" ht="15.75" customHeight="1" x14ac:dyDescent="0.35">
      <c r="A633" s="40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</row>
    <row r="634" spans="1:17" ht="15.75" customHeight="1" x14ac:dyDescent="0.35">
      <c r="A634" s="40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</row>
    <row r="635" spans="1:17" ht="15.75" customHeight="1" x14ac:dyDescent="0.35">
      <c r="A635" s="40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</row>
    <row r="636" spans="1:17" ht="15.75" customHeight="1" x14ac:dyDescent="0.35">
      <c r="A636" s="40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</row>
    <row r="637" spans="1:17" ht="15.75" customHeight="1" x14ac:dyDescent="0.35">
      <c r="A637" s="40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</row>
    <row r="638" spans="1:17" ht="15.75" customHeight="1" x14ac:dyDescent="0.35">
      <c r="A638" s="40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</row>
    <row r="639" spans="1:17" ht="15.75" customHeight="1" x14ac:dyDescent="0.35">
      <c r="A639" s="40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</row>
    <row r="640" spans="1:17" ht="15.75" customHeight="1" x14ac:dyDescent="0.35">
      <c r="A640" s="40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</row>
    <row r="641" spans="1:17" ht="15.75" customHeight="1" x14ac:dyDescent="0.35">
      <c r="A641" s="40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</row>
    <row r="642" spans="1:17" ht="15.75" customHeight="1" x14ac:dyDescent="0.35">
      <c r="A642" s="40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</row>
    <row r="643" spans="1:17" ht="15.75" customHeight="1" x14ac:dyDescent="0.35">
      <c r="A643" s="40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</row>
    <row r="644" spans="1:17" ht="15.75" customHeight="1" x14ac:dyDescent="0.35">
      <c r="A644" s="40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</row>
    <row r="645" spans="1:17" ht="15.75" customHeight="1" x14ac:dyDescent="0.35">
      <c r="A645" s="40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</row>
    <row r="646" spans="1:17" ht="15.75" customHeight="1" x14ac:dyDescent="0.35">
      <c r="A646" s="40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</row>
    <row r="647" spans="1:17" ht="15.75" customHeight="1" x14ac:dyDescent="0.35">
      <c r="A647" s="40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</row>
    <row r="648" spans="1:17" ht="15.75" customHeight="1" x14ac:dyDescent="0.35">
      <c r="A648" s="40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</row>
    <row r="649" spans="1:17" ht="15.75" customHeight="1" x14ac:dyDescent="0.35">
      <c r="A649" s="40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</row>
    <row r="650" spans="1:17" ht="15.75" customHeight="1" x14ac:dyDescent="0.35">
      <c r="A650" s="40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</row>
    <row r="651" spans="1:17" ht="15.75" customHeight="1" x14ac:dyDescent="0.35">
      <c r="A651" s="40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</row>
    <row r="652" spans="1:17" ht="15.75" customHeight="1" x14ac:dyDescent="0.35">
      <c r="A652" s="40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</row>
    <row r="653" spans="1:17" ht="15.75" customHeight="1" x14ac:dyDescent="0.35">
      <c r="A653" s="40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</row>
    <row r="654" spans="1:17" ht="15.75" customHeight="1" x14ac:dyDescent="0.35">
      <c r="A654" s="40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</row>
    <row r="655" spans="1:17" ht="15.75" customHeight="1" x14ac:dyDescent="0.35">
      <c r="A655" s="40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</row>
    <row r="656" spans="1:17" ht="15.75" customHeight="1" x14ac:dyDescent="0.35">
      <c r="A656" s="40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</row>
    <row r="657" spans="1:17" ht="15.75" customHeight="1" x14ac:dyDescent="0.35">
      <c r="A657" s="40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</row>
    <row r="658" spans="1:17" ht="15.75" customHeight="1" x14ac:dyDescent="0.35">
      <c r="A658" s="40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</row>
    <row r="659" spans="1:17" ht="15.75" customHeight="1" x14ac:dyDescent="0.35">
      <c r="A659" s="40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</row>
    <row r="660" spans="1:17" ht="15.75" customHeight="1" x14ac:dyDescent="0.35">
      <c r="A660" s="40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</row>
    <row r="661" spans="1:17" ht="15.75" customHeight="1" x14ac:dyDescent="0.35">
      <c r="A661" s="40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</row>
    <row r="662" spans="1:17" ht="15.75" customHeight="1" x14ac:dyDescent="0.35">
      <c r="A662" s="40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</row>
    <row r="663" spans="1:17" ht="15.75" customHeight="1" x14ac:dyDescent="0.35">
      <c r="A663" s="40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</row>
    <row r="664" spans="1:17" ht="15.75" customHeight="1" x14ac:dyDescent="0.35">
      <c r="A664" s="40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</row>
    <row r="665" spans="1:17" ht="15.75" customHeight="1" x14ac:dyDescent="0.35">
      <c r="A665" s="40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</row>
    <row r="666" spans="1:17" ht="15.75" customHeight="1" x14ac:dyDescent="0.35">
      <c r="A666" s="40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</row>
    <row r="667" spans="1:17" ht="15.75" customHeight="1" x14ac:dyDescent="0.35">
      <c r="A667" s="40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</row>
    <row r="668" spans="1:17" ht="15.75" customHeight="1" x14ac:dyDescent="0.35">
      <c r="A668" s="40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</row>
    <row r="669" spans="1:17" ht="15.75" customHeight="1" x14ac:dyDescent="0.35">
      <c r="A669" s="40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</row>
    <row r="670" spans="1:17" ht="15.75" customHeight="1" x14ac:dyDescent="0.35">
      <c r="A670" s="40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</row>
    <row r="671" spans="1:17" ht="15.75" customHeight="1" x14ac:dyDescent="0.35">
      <c r="A671" s="40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</row>
    <row r="672" spans="1:17" ht="15.75" customHeight="1" x14ac:dyDescent="0.35">
      <c r="A672" s="40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</row>
    <row r="673" spans="1:17" ht="15.75" customHeight="1" x14ac:dyDescent="0.35">
      <c r="A673" s="40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</row>
    <row r="674" spans="1:17" ht="15.75" customHeight="1" x14ac:dyDescent="0.35">
      <c r="A674" s="40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</row>
    <row r="675" spans="1:17" ht="15.75" customHeight="1" x14ac:dyDescent="0.35">
      <c r="A675" s="40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</row>
    <row r="676" spans="1:17" ht="15.75" customHeight="1" x14ac:dyDescent="0.35">
      <c r="A676" s="40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</row>
    <row r="677" spans="1:17" ht="15.75" customHeight="1" x14ac:dyDescent="0.35">
      <c r="A677" s="40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</row>
    <row r="678" spans="1:17" ht="15.75" customHeight="1" x14ac:dyDescent="0.35">
      <c r="A678" s="40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</row>
    <row r="679" spans="1:17" ht="15.75" customHeight="1" x14ac:dyDescent="0.35">
      <c r="A679" s="40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</row>
    <row r="680" spans="1:17" ht="15.75" customHeight="1" x14ac:dyDescent="0.35">
      <c r="A680" s="40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</row>
    <row r="681" spans="1:17" ht="15.75" customHeight="1" x14ac:dyDescent="0.35">
      <c r="A681" s="40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</row>
    <row r="682" spans="1:17" ht="15.75" customHeight="1" x14ac:dyDescent="0.35">
      <c r="A682" s="40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</row>
    <row r="683" spans="1:17" ht="15.75" customHeight="1" x14ac:dyDescent="0.35">
      <c r="A683" s="40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</row>
    <row r="684" spans="1:17" ht="15.75" customHeight="1" x14ac:dyDescent="0.35">
      <c r="A684" s="40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</row>
    <row r="685" spans="1:17" ht="15.75" customHeight="1" x14ac:dyDescent="0.35">
      <c r="A685" s="40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</row>
    <row r="686" spans="1:17" ht="15.75" customHeight="1" x14ac:dyDescent="0.35">
      <c r="A686" s="40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</row>
    <row r="687" spans="1:17" ht="15.75" customHeight="1" x14ac:dyDescent="0.35">
      <c r="A687" s="40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</row>
    <row r="688" spans="1:17" ht="15.75" customHeight="1" x14ac:dyDescent="0.35">
      <c r="A688" s="40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</row>
    <row r="689" spans="1:17" ht="15.75" customHeight="1" x14ac:dyDescent="0.35">
      <c r="A689" s="40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</row>
    <row r="690" spans="1:17" ht="15.75" customHeight="1" x14ac:dyDescent="0.35">
      <c r="A690" s="40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</row>
    <row r="691" spans="1:17" ht="15.75" customHeight="1" x14ac:dyDescent="0.35">
      <c r="A691" s="40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</row>
    <row r="692" spans="1:17" ht="15.75" customHeight="1" x14ac:dyDescent="0.35">
      <c r="A692" s="40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</row>
    <row r="693" spans="1:17" ht="15.75" customHeight="1" x14ac:dyDescent="0.35">
      <c r="A693" s="40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</row>
    <row r="694" spans="1:17" ht="15.75" customHeight="1" x14ac:dyDescent="0.35">
      <c r="A694" s="40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</row>
    <row r="695" spans="1:17" ht="15.75" customHeight="1" x14ac:dyDescent="0.35">
      <c r="A695" s="40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</row>
    <row r="696" spans="1:17" ht="15.75" customHeight="1" x14ac:dyDescent="0.35">
      <c r="A696" s="40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</row>
    <row r="697" spans="1:17" ht="15.75" customHeight="1" x14ac:dyDescent="0.35">
      <c r="A697" s="40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</row>
    <row r="698" spans="1:17" ht="15.75" customHeight="1" x14ac:dyDescent="0.35">
      <c r="A698" s="40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</row>
    <row r="699" spans="1:17" ht="15.75" customHeight="1" x14ac:dyDescent="0.35">
      <c r="A699" s="40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</row>
    <row r="700" spans="1:17" ht="15.75" customHeight="1" x14ac:dyDescent="0.35">
      <c r="A700" s="40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</row>
    <row r="701" spans="1:17" ht="15.75" customHeight="1" x14ac:dyDescent="0.35">
      <c r="A701" s="40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</row>
    <row r="702" spans="1:17" ht="15.75" customHeight="1" x14ac:dyDescent="0.35">
      <c r="A702" s="40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</row>
    <row r="703" spans="1:17" ht="15.75" customHeight="1" x14ac:dyDescent="0.35">
      <c r="A703" s="40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</row>
    <row r="704" spans="1:17" ht="15.75" customHeight="1" x14ac:dyDescent="0.35">
      <c r="A704" s="40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</row>
    <row r="705" spans="1:17" ht="15.75" customHeight="1" x14ac:dyDescent="0.35">
      <c r="A705" s="40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</row>
    <row r="706" spans="1:17" ht="15.75" customHeight="1" x14ac:dyDescent="0.35">
      <c r="A706" s="40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</row>
    <row r="707" spans="1:17" ht="15.75" customHeight="1" x14ac:dyDescent="0.35">
      <c r="A707" s="40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</row>
    <row r="708" spans="1:17" ht="15.75" customHeight="1" x14ac:dyDescent="0.35">
      <c r="A708" s="40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</row>
    <row r="709" spans="1:17" ht="15.75" customHeight="1" x14ac:dyDescent="0.35">
      <c r="A709" s="40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</row>
    <row r="710" spans="1:17" ht="15.75" customHeight="1" x14ac:dyDescent="0.35">
      <c r="A710" s="40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</row>
    <row r="711" spans="1:17" ht="15.75" customHeight="1" x14ac:dyDescent="0.35">
      <c r="A711" s="40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</row>
    <row r="712" spans="1:17" ht="15.75" customHeight="1" x14ac:dyDescent="0.35">
      <c r="A712" s="40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</row>
    <row r="713" spans="1:17" ht="15.75" customHeight="1" x14ac:dyDescent="0.35">
      <c r="A713" s="40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</row>
    <row r="714" spans="1:17" ht="15.75" customHeight="1" x14ac:dyDescent="0.35">
      <c r="A714" s="40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</row>
    <row r="715" spans="1:17" ht="15.75" customHeight="1" x14ac:dyDescent="0.35">
      <c r="A715" s="40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</row>
    <row r="716" spans="1:17" ht="15.75" customHeight="1" x14ac:dyDescent="0.35">
      <c r="A716" s="40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</row>
    <row r="717" spans="1:17" ht="15.75" customHeight="1" x14ac:dyDescent="0.35">
      <c r="A717" s="40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</row>
    <row r="718" spans="1:17" ht="15.75" customHeight="1" x14ac:dyDescent="0.35">
      <c r="A718" s="40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</row>
    <row r="719" spans="1:17" ht="15.75" customHeight="1" x14ac:dyDescent="0.35">
      <c r="A719" s="40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</row>
    <row r="720" spans="1:17" ht="15.75" customHeight="1" x14ac:dyDescent="0.35">
      <c r="A720" s="40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</row>
    <row r="721" spans="1:17" ht="15.75" customHeight="1" x14ac:dyDescent="0.35">
      <c r="A721" s="40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</row>
    <row r="722" spans="1:17" ht="15.75" customHeight="1" x14ac:dyDescent="0.35">
      <c r="A722" s="40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</row>
    <row r="723" spans="1:17" ht="15.75" customHeight="1" x14ac:dyDescent="0.35">
      <c r="A723" s="40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</row>
    <row r="724" spans="1:17" ht="15.75" customHeight="1" x14ac:dyDescent="0.35">
      <c r="A724" s="40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</row>
    <row r="725" spans="1:17" ht="15.75" customHeight="1" x14ac:dyDescent="0.35">
      <c r="A725" s="40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</row>
    <row r="726" spans="1:17" ht="15.75" customHeight="1" x14ac:dyDescent="0.35">
      <c r="A726" s="40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</row>
    <row r="727" spans="1:17" ht="15.75" customHeight="1" x14ac:dyDescent="0.35">
      <c r="A727" s="40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</row>
    <row r="728" spans="1:17" ht="15.75" customHeight="1" x14ac:dyDescent="0.35">
      <c r="A728" s="40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</row>
    <row r="729" spans="1:17" ht="15.75" customHeight="1" x14ac:dyDescent="0.35">
      <c r="A729" s="40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</row>
    <row r="730" spans="1:17" ht="15.75" customHeight="1" x14ac:dyDescent="0.35">
      <c r="A730" s="40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</row>
    <row r="731" spans="1:17" ht="15.75" customHeight="1" x14ac:dyDescent="0.35">
      <c r="A731" s="40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</row>
    <row r="732" spans="1:17" ht="15.75" customHeight="1" x14ac:dyDescent="0.35">
      <c r="A732" s="40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</row>
    <row r="733" spans="1:17" ht="15.75" customHeight="1" x14ac:dyDescent="0.35">
      <c r="A733" s="40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</row>
    <row r="734" spans="1:17" ht="15.75" customHeight="1" x14ac:dyDescent="0.35">
      <c r="A734" s="40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</row>
    <row r="735" spans="1:17" ht="15.75" customHeight="1" x14ac:dyDescent="0.35">
      <c r="A735" s="40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</row>
    <row r="736" spans="1:17" ht="15.75" customHeight="1" x14ac:dyDescent="0.35">
      <c r="A736" s="40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</row>
    <row r="737" spans="1:17" ht="15.75" customHeight="1" x14ac:dyDescent="0.35">
      <c r="A737" s="40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</row>
    <row r="738" spans="1:17" ht="15.75" customHeight="1" x14ac:dyDescent="0.35">
      <c r="A738" s="40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</row>
    <row r="739" spans="1:17" ht="15.75" customHeight="1" x14ac:dyDescent="0.35">
      <c r="A739" s="40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</row>
    <row r="740" spans="1:17" ht="15.75" customHeight="1" x14ac:dyDescent="0.35">
      <c r="A740" s="40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</row>
    <row r="741" spans="1:17" ht="15.75" customHeight="1" x14ac:dyDescent="0.35">
      <c r="A741" s="40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</row>
    <row r="742" spans="1:17" ht="15.75" customHeight="1" x14ac:dyDescent="0.35">
      <c r="A742" s="40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</row>
    <row r="743" spans="1:17" ht="15.75" customHeight="1" x14ac:dyDescent="0.35">
      <c r="A743" s="40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</row>
    <row r="744" spans="1:17" ht="15.75" customHeight="1" x14ac:dyDescent="0.35">
      <c r="A744" s="40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</row>
    <row r="745" spans="1:17" ht="15.75" customHeight="1" x14ac:dyDescent="0.35">
      <c r="A745" s="40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</row>
    <row r="746" spans="1:17" ht="15.75" customHeight="1" x14ac:dyDescent="0.35">
      <c r="A746" s="40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</row>
    <row r="747" spans="1:17" ht="15.75" customHeight="1" x14ac:dyDescent="0.35">
      <c r="A747" s="40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</row>
    <row r="748" spans="1:17" ht="15.75" customHeight="1" x14ac:dyDescent="0.35">
      <c r="A748" s="40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</row>
    <row r="749" spans="1:17" ht="15.75" customHeight="1" x14ac:dyDescent="0.35">
      <c r="A749" s="40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</row>
    <row r="750" spans="1:17" ht="15.75" customHeight="1" x14ac:dyDescent="0.35">
      <c r="A750" s="40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</row>
    <row r="751" spans="1:17" ht="15.75" customHeight="1" x14ac:dyDescent="0.35">
      <c r="A751" s="40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</row>
    <row r="752" spans="1:17" ht="15.75" customHeight="1" x14ac:dyDescent="0.35">
      <c r="A752" s="40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</row>
    <row r="753" spans="1:17" ht="15.75" customHeight="1" x14ac:dyDescent="0.35">
      <c r="A753" s="40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</row>
    <row r="754" spans="1:17" ht="15.75" customHeight="1" x14ac:dyDescent="0.35">
      <c r="A754" s="40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</row>
    <row r="755" spans="1:17" ht="15.75" customHeight="1" x14ac:dyDescent="0.35">
      <c r="A755" s="40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</row>
    <row r="756" spans="1:17" ht="15.75" customHeight="1" x14ac:dyDescent="0.35">
      <c r="A756" s="40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</row>
    <row r="757" spans="1:17" ht="15.75" customHeight="1" x14ac:dyDescent="0.35">
      <c r="A757" s="41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1"/>
    </row>
    <row r="758" spans="1:17" ht="15.75" customHeight="1" x14ac:dyDescent="0.35">
      <c r="A758" s="41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1"/>
    </row>
    <row r="759" spans="1:17" ht="15.75" customHeight="1" x14ac:dyDescent="0.35">
      <c r="A759" s="41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1"/>
    </row>
    <row r="760" spans="1:17" ht="15.75" customHeight="1" x14ac:dyDescent="0.35">
      <c r="A760" s="41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1"/>
    </row>
    <row r="761" spans="1:17" ht="15.75" customHeight="1" x14ac:dyDescent="0.35">
      <c r="A761" s="41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1"/>
    </row>
    <row r="762" spans="1:17" ht="15.75" customHeight="1" x14ac:dyDescent="0.35">
      <c r="A762" s="41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1"/>
    </row>
    <row r="763" spans="1:17" ht="15.75" customHeight="1" x14ac:dyDescent="0.35">
      <c r="A763" s="41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1"/>
    </row>
    <row r="764" spans="1:17" ht="15.75" customHeight="1" x14ac:dyDescent="0.35">
      <c r="A764" s="41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1"/>
    </row>
    <row r="765" spans="1:17" ht="15.75" customHeight="1" x14ac:dyDescent="0.35">
      <c r="A765" s="41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1"/>
    </row>
    <row r="766" spans="1:17" ht="15.75" customHeight="1" x14ac:dyDescent="0.35">
      <c r="A766" s="41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1"/>
    </row>
    <row r="767" spans="1:17" ht="15.75" customHeight="1" x14ac:dyDescent="0.35">
      <c r="A767" s="41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1"/>
    </row>
    <row r="768" spans="1:17" ht="15.75" customHeight="1" x14ac:dyDescent="0.35">
      <c r="A768" s="41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1"/>
    </row>
    <row r="769" spans="1:17" ht="15.75" customHeight="1" x14ac:dyDescent="0.35">
      <c r="A769" s="41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1"/>
    </row>
    <row r="770" spans="1:17" ht="15.75" customHeight="1" x14ac:dyDescent="0.35">
      <c r="A770" s="41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1"/>
    </row>
    <row r="771" spans="1:17" ht="15.75" customHeight="1" x14ac:dyDescent="0.35">
      <c r="A771" s="41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1"/>
    </row>
    <row r="772" spans="1:17" ht="15.75" customHeight="1" x14ac:dyDescent="0.35">
      <c r="A772" s="41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1"/>
    </row>
    <row r="773" spans="1:17" ht="15.75" customHeight="1" x14ac:dyDescent="0.35">
      <c r="A773" s="41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1"/>
    </row>
    <row r="774" spans="1:17" ht="15.75" customHeight="1" x14ac:dyDescent="0.35">
      <c r="A774" s="41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1"/>
    </row>
    <row r="775" spans="1:17" ht="15.75" customHeight="1" x14ac:dyDescent="0.35">
      <c r="A775" s="41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1"/>
    </row>
    <row r="776" spans="1:17" ht="15.75" customHeight="1" x14ac:dyDescent="0.35">
      <c r="A776" s="41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1"/>
    </row>
    <row r="777" spans="1:17" ht="15.75" customHeight="1" x14ac:dyDescent="0.35">
      <c r="A777" s="41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1"/>
    </row>
    <row r="778" spans="1:17" ht="15.75" customHeight="1" x14ac:dyDescent="0.35">
      <c r="A778" s="41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1"/>
    </row>
    <row r="779" spans="1:17" ht="15.75" customHeight="1" x14ac:dyDescent="0.35">
      <c r="A779" s="41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1"/>
    </row>
    <row r="780" spans="1:17" ht="15.75" customHeight="1" x14ac:dyDescent="0.35">
      <c r="A780" s="41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1"/>
    </row>
    <row r="781" spans="1:17" ht="15.75" customHeight="1" x14ac:dyDescent="0.35">
      <c r="A781" s="41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1"/>
    </row>
    <row r="782" spans="1:17" ht="15.75" customHeight="1" x14ac:dyDescent="0.35">
      <c r="A782" s="41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1"/>
    </row>
    <row r="783" spans="1:17" ht="15.75" customHeight="1" x14ac:dyDescent="0.35">
      <c r="A783" s="41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1"/>
    </row>
    <row r="784" spans="1:17" ht="15.75" customHeight="1" x14ac:dyDescent="0.35">
      <c r="A784" s="41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1"/>
    </row>
    <row r="785" spans="1:17" ht="15.75" customHeight="1" x14ac:dyDescent="0.35">
      <c r="A785" s="41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1"/>
    </row>
    <row r="786" spans="1:17" ht="15.75" customHeight="1" x14ac:dyDescent="0.35">
      <c r="A786" s="41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1"/>
    </row>
    <row r="787" spans="1:17" ht="15.75" customHeight="1" x14ac:dyDescent="0.35">
      <c r="A787" s="41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1"/>
    </row>
    <row r="788" spans="1:17" ht="15.75" customHeight="1" x14ac:dyDescent="0.35">
      <c r="A788" s="41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1"/>
    </row>
    <row r="789" spans="1:17" ht="15.75" customHeight="1" x14ac:dyDescent="0.35">
      <c r="A789" s="41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1"/>
    </row>
    <row r="790" spans="1:17" ht="15.75" customHeight="1" x14ac:dyDescent="0.35">
      <c r="A790" s="41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1"/>
    </row>
    <row r="791" spans="1:17" ht="15.75" customHeight="1" x14ac:dyDescent="0.35">
      <c r="A791" s="41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1"/>
    </row>
    <row r="792" spans="1:17" ht="15.75" customHeight="1" x14ac:dyDescent="0.35">
      <c r="A792" s="41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1"/>
    </row>
    <row r="793" spans="1:17" ht="15.75" customHeight="1" x14ac:dyDescent="0.35">
      <c r="A793" s="41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1"/>
    </row>
    <row r="794" spans="1:17" ht="15.75" customHeight="1" x14ac:dyDescent="0.35">
      <c r="A794" s="41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1"/>
    </row>
    <row r="795" spans="1:17" ht="15.75" customHeight="1" x14ac:dyDescent="0.35">
      <c r="A795" s="41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1"/>
    </row>
    <row r="796" spans="1:17" ht="15.75" customHeight="1" x14ac:dyDescent="0.35">
      <c r="A796" s="41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1"/>
    </row>
    <row r="797" spans="1:17" ht="15.75" customHeight="1" x14ac:dyDescent="0.35">
      <c r="A797" s="41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1"/>
    </row>
    <row r="798" spans="1:17" ht="15.75" customHeight="1" x14ac:dyDescent="0.35">
      <c r="A798" s="41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1"/>
    </row>
    <row r="799" spans="1:17" ht="15.75" customHeight="1" x14ac:dyDescent="0.35">
      <c r="A799" s="41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1"/>
    </row>
    <row r="800" spans="1:17" ht="15.75" customHeight="1" x14ac:dyDescent="0.35">
      <c r="A800" s="41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1"/>
    </row>
    <row r="801" spans="1:17" ht="15.75" customHeight="1" x14ac:dyDescent="0.35">
      <c r="A801" s="41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1"/>
    </row>
    <row r="802" spans="1:17" ht="15.75" customHeight="1" x14ac:dyDescent="0.35">
      <c r="A802" s="41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1"/>
    </row>
    <row r="803" spans="1:17" ht="15.75" customHeight="1" x14ac:dyDescent="0.35">
      <c r="A803" s="41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1"/>
    </row>
    <row r="804" spans="1:17" ht="15.75" customHeight="1" x14ac:dyDescent="0.35">
      <c r="A804" s="41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1"/>
    </row>
    <row r="805" spans="1:17" ht="15.75" customHeight="1" x14ac:dyDescent="0.35">
      <c r="A805" s="41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1"/>
    </row>
    <row r="806" spans="1:17" ht="15.75" customHeight="1" x14ac:dyDescent="0.35">
      <c r="A806" s="41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1"/>
    </row>
    <row r="807" spans="1:17" ht="15.75" customHeight="1" x14ac:dyDescent="0.35">
      <c r="A807" s="41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1"/>
    </row>
    <row r="808" spans="1:17" ht="15.75" customHeight="1" x14ac:dyDescent="0.35">
      <c r="A808" s="41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1"/>
    </row>
    <row r="809" spans="1:17" ht="15.75" customHeight="1" x14ac:dyDescent="0.35">
      <c r="A809" s="41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1"/>
    </row>
    <row r="810" spans="1:17" ht="15.75" customHeight="1" x14ac:dyDescent="0.35">
      <c r="A810" s="41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1"/>
    </row>
    <row r="811" spans="1:17" ht="15.75" customHeight="1" x14ac:dyDescent="0.35">
      <c r="A811" s="41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1"/>
    </row>
    <row r="812" spans="1:17" ht="15.75" customHeight="1" x14ac:dyDescent="0.35">
      <c r="A812" s="41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1"/>
    </row>
    <row r="813" spans="1:17" ht="15.75" customHeight="1" x14ac:dyDescent="0.35">
      <c r="A813" s="41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1"/>
    </row>
    <row r="814" spans="1:17" ht="15.75" customHeight="1" x14ac:dyDescent="0.35">
      <c r="A814" s="41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1"/>
    </row>
    <row r="815" spans="1:17" ht="15.75" customHeight="1" x14ac:dyDescent="0.35">
      <c r="A815" s="41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1"/>
    </row>
    <row r="816" spans="1:17" ht="15.75" customHeight="1" x14ac:dyDescent="0.35">
      <c r="A816" s="41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1"/>
    </row>
    <row r="817" spans="1:17" ht="15.75" customHeight="1" x14ac:dyDescent="0.35">
      <c r="A817" s="41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1"/>
    </row>
    <row r="818" spans="1:17" ht="15.75" customHeight="1" x14ac:dyDescent="0.35">
      <c r="A818" s="41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1"/>
    </row>
    <row r="819" spans="1:17" ht="15.75" customHeight="1" x14ac:dyDescent="0.35">
      <c r="A819" s="41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1"/>
    </row>
    <row r="820" spans="1:17" ht="15.75" customHeight="1" x14ac:dyDescent="0.35">
      <c r="A820" s="41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1"/>
    </row>
    <row r="821" spans="1:17" ht="15.75" customHeight="1" x14ac:dyDescent="0.35">
      <c r="A821" s="41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1"/>
    </row>
    <row r="822" spans="1:17" ht="15.75" customHeight="1" x14ac:dyDescent="0.35">
      <c r="A822" s="41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1"/>
    </row>
    <row r="823" spans="1:17" ht="15.75" customHeight="1" x14ac:dyDescent="0.35">
      <c r="A823" s="41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1"/>
    </row>
    <row r="824" spans="1:17" ht="15.75" customHeight="1" x14ac:dyDescent="0.35">
      <c r="A824" s="41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1"/>
    </row>
    <row r="825" spans="1:17" ht="15.75" customHeight="1" x14ac:dyDescent="0.35">
      <c r="A825" s="41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1"/>
    </row>
    <row r="826" spans="1:17" ht="15.75" customHeight="1" x14ac:dyDescent="0.35">
      <c r="A826" s="41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1"/>
    </row>
    <row r="827" spans="1:17" ht="15.75" customHeight="1" x14ac:dyDescent="0.35">
      <c r="A827" s="41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1"/>
    </row>
    <row r="828" spans="1:17" ht="15.75" customHeight="1" x14ac:dyDescent="0.35">
      <c r="A828" s="41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1"/>
    </row>
    <row r="829" spans="1:17" ht="15.75" customHeight="1" x14ac:dyDescent="0.35">
      <c r="A829" s="41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1"/>
    </row>
    <row r="830" spans="1:17" ht="15.75" customHeight="1" x14ac:dyDescent="0.35">
      <c r="A830" s="41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1"/>
    </row>
    <row r="831" spans="1:17" ht="15.75" customHeight="1" x14ac:dyDescent="0.35">
      <c r="A831" s="41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1"/>
    </row>
    <row r="832" spans="1:17" ht="15.75" customHeight="1" x14ac:dyDescent="0.35">
      <c r="A832" s="41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1"/>
    </row>
    <row r="833" spans="1:17" ht="15.75" customHeight="1" x14ac:dyDescent="0.35">
      <c r="A833" s="41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1"/>
    </row>
    <row r="834" spans="1:17" ht="15.75" customHeight="1" x14ac:dyDescent="0.35">
      <c r="A834" s="41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1"/>
    </row>
    <row r="835" spans="1:17" ht="15.75" customHeight="1" x14ac:dyDescent="0.35">
      <c r="A835" s="41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1"/>
    </row>
    <row r="836" spans="1:17" ht="15.75" customHeight="1" x14ac:dyDescent="0.35">
      <c r="A836" s="41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1"/>
    </row>
    <row r="837" spans="1:17" ht="15.75" customHeight="1" x14ac:dyDescent="0.35">
      <c r="A837" s="41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1"/>
    </row>
    <row r="838" spans="1:17" ht="15.75" customHeight="1" x14ac:dyDescent="0.35">
      <c r="A838" s="41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1"/>
    </row>
    <row r="839" spans="1:17" ht="15.75" customHeight="1" x14ac:dyDescent="0.35">
      <c r="A839" s="41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1"/>
    </row>
    <row r="840" spans="1:17" ht="15.75" customHeight="1" x14ac:dyDescent="0.35">
      <c r="A840" s="41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1"/>
    </row>
    <row r="841" spans="1:17" ht="15.75" customHeight="1" x14ac:dyDescent="0.35">
      <c r="A841" s="41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1"/>
    </row>
    <row r="842" spans="1:17" ht="15.75" customHeight="1" x14ac:dyDescent="0.35">
      <c r="A842" s="41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1"/>
    </row>
    <row r="843" spans="1:17" ht="15.75" customHeight="1" x14ac:dyDescent="0.35">
      <c r="A843" s="41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1"/>
    </row>
    <row r="844" spans="1:17" ht="15.75" customHeight="1" x14ac:dyDescent="0.35">
      <c r="A844" s="41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1"/>
    </row>
    <row r="845" spans="1:17" ht="15.75" customHeight="1" x14ac:dyDescent="0.35">
      <c r="A845" s="41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1"/>
    </row>
    <row r="846" spans="1:17" ht="15.75" customHeight="1" x14ac:dyDescent="0.35">
      <c r="A846" s="41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1"/>
    </row>
    <row r="847" spans="1:17" ht="15.75" customHeight="1" x14ac:dyDescent="0.35">
      <c r="A847" s="41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1"/>
    </row>
    <row r="848" spans="1:17" ht="15.75" customHeight="1" x14ac:dyDescent="0.35">
      <c r="A848" s="41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1"/>
    </row>
    <row r="849" spans="1:17" ht="15.75" customHeight="1" x14ac:dyDescent="0.35">
      <c r="A849" s="41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1"/>
    </row>
    <row r="850" spans="1:17" ht="15.75" customHeight="1" x14ac:dyDescent="0.35">
      <c r="A850" s="41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1"/>
    </row>
    <row r="851" spans="1:17" ht="15.75" customHeight="1" x14ac:dyDescent="0.35">
      <c r="A851" s="41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1"/>
    </row>
    <row r="852" spans="1:17" ht="15.75" customHeight="1" x14ac:dyDescent="0.35">
      <c r="A852" s="41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1"/>
    </row>
    <row r="853" spans="1:17" ht="15.75" customHeight="1" x14ac:dyDescent="0.35">
      <c r="A853" s="41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1"/>
    </row>
    <row r="854" spans="1:17" ht="15.75" customHeight="1" x14ac:dyDescent="0.35">
      <c r="A854" s="41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1"/>
    </row>
    <row r="855" spans="1:17" ht="15.75" customHeight="1" x14ac:dyDescent="0.35">
      <c r="A855" s="41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1"/>
    </row>
    <row r="856" spans="1:17" ht="15.75" customHeight="1" x14ac:dyDescent="0.35">
      <c r="A856" s="41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1"/>
    </row>
    <row r="857" spans="1:17" ht="15.75" customHeight="1" x14ac:dyDescent="0.35">
      <c r="A857" s="41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1"/>
    </row>
    <row r="858" spans="1:17" ht="15.75" customHeight="1" x14ac:dyDescent="0.35">
      <c r="A858" s="41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1"/>
    </row>
    <row r="859" spans="1:17" ht="15.75" customHeight="1" x14ac:dyDescent="0.35">
      <c r="A859" s="41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1"/>
    </row>
    <row r="860" spans="1:17" ht="15.75" customHeight="1" x14ac:dyDescent="0.35">
      <c r="A860" s="41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1"/>
    </row>
    <row r="861" spans="1:17" ht="15.75" customHeight="1" x14ac:dyDescent="0.35">
      <c r="A861" s="41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1"/>
    </row>
    <row r="862" spans="1:17" ht="15.75" customHeight="1" x14ac:dyDescent="0.35">
      <c r="A862" s="41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1"/>
    </row>
    <row r="863" spans="1:17" ht="15.75" customHeight="1" x14ac:dyDescent="0.35">
      <c r="A863" s="41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1"/>
    </row>
    <row r="864" spans="1:17" ht="15.75" customHeight="1" x14ac:dyDescent="0.35">
      <c r="A864" s="41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1"/>
    </row>
    <row r="865" spans="1:17" ht="15.75" customHeight="1" x14ac:dyDescent="0.35">
      <c r="A865" s="41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1"/>
    </row>
    <row r="866" spans="1:17" ht="15.75" customHeight="1" x14ac:dyDescent="0.35">
      <c r="A866" s="41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1"/>
    </row>
    <row r="867" spans="1:17" ht="15.75" customHeight="1" x14ac:dyDescent="0.35">
      <c r="A867" s="41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1"/>
    </row>
    <row r="868" spans="1:17" ht="15.75" customHeight="1" x14ac:dyDescent="0.35">
      <c r="A868" s="41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1"/>
    </row>
    <row r="869" spans="1:17" ht="15.75" customHeight="1" x14ac:dyDescent="0.35">
      <c r="A869" s="41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1"/>
    </row>
    <row r="870" spans="1:17" ht="15.75" customHeight="1" x14ac:dyDescent="0.35">
      <c r="A870" s="41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1"/>
    </row>
    <row r="871" spans="1:17" ht="15.75" customHeight="1" x14ac:dyDescent="0.35">
      <c r="A871" s="41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1"/>
    </row>
    <row r="872" spans="1:17" ht="15.75" customHeight="1" x14ac:dyDescent="0.35">
      <c r="A872" s="41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1"/>
    </row>
    <row r="873" spans="1:17" ht="15.75" customHeight="1" x14ac:dyDescent="0.35">
      <c r="A873" s="41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1"/>
    </row>
    <row r="874" spans="1:17" ht="15.75" customHeight="1" x14ac:dyDescent="0.35">
      <c r="A874" s="41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1"/>
    </row>
    <row r="875" spans="1:17" ht="15.75" customHeight="1" x14ac:dyDescent="0.35">
      <c r="A875" s="41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1"/>
    </row>
    <row r="876" spans="1:17" ht="15.75" customHeight="1" x14ac:dyDescent="0.35">
      <c r="A876" s="41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1"/>
    </row>
    <row r="877" spans="1:17" ht="15.75" customHeight="1" x14ac:dyDescent="0.35">
      <c r="A877" s="41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1"/>
    </row>
    <row r="878" spans="1:17" ht="15.75" customHeight="1" x14ac:dyDescent="0.35">
      <c r="A878" s="41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1"/>
    </row>
    <row r="879" spans="1:17" ht="15.75" customHeight="1" x14ac:dyDescent="0.35">
      <c r="A879" s="41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1"/>
    </row>
    <row r="880" spans="1:17" ht="15.75" customHeight="1" x14ac:dyDescent="0.35">
      <c r="A880" s="41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1"/>
    </row>
    <row r="881" spans="1:17" ht="15.75" customHeight="1" x14ac:dyDescent="0.35">
      <c r="A881" s="41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1"/>
    </row>
    <row r="882" spans="1:17" ht="15.75" customHeight="1" x14ac:dyDescent="0.35">
      <c r="A882" s="41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1"/>
    </row>
    <row r="883" spans="1:17" ht="15.75" customHeight="1" x14ac:dyDescent="0.35">
      <c r="A883" s="41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1"/>
    </row>
    <row r="884" spans="1:17" ht="15.75" customHeight="1" x14ac:dyDescent="0.35">
      <c r="A884" s="41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1"/>
    </row>
    <row r="885" spans="1:17" ht="15.75" customHeight="1" x14ac:dyDescent="0.35">
      <c r="A885" s="41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1"/>
    </row>
    <row r="886" spans="1:17" ht="15.75" customHeight="1" x14ac:dyDescent="0.35">
      <c r="A886" s="41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1"/>
    </row>
    <row r="887" spans="1:17" ht="15.75" customHeight="1" x14ac:dyDescent="0.35">
      <c r="A887" s="41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1"/>
    </row>
    <row r="888" spans="1:17" ht="15.75" customHeight="1" x14ac:dyDescent="0.35">
      <c r="A888" s="41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1"/>
    </row>
    <row r="889" spans="1:17" ht="15.75" customHeight="1" x14ac:dyDescent="0.35">
      <c r="A889" s="41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1"/>
    </row>
    <row r="890" spans="1:17" ht="15.75" customHeight="1" x14ac:dyDescent="0.35">
      <c r="A890" s="41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1"/>
    </row>
    <row r="891" spans="1:17" ht="15.75" customHeight="1" x14ac:dyDescent="0.35">
      <c r="A891" s="41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1"/>
    </row>
  </sheetData>
  <autoFilter ref="B4:Q23" xr:uid="{00000000-0009-0000-0000-000007000000}">
    <filterColumn colId="2">
      <filters>
        <filter val="A"/>
      </filters>
    </filterColumn>
    <sortState xmlns:xlrd2="http://schemas.microsoft.com/office/spreadsheetml/2017/richdata2" ref="B5:Q23">
      <sortCondition ref="C4:C23"/>
      <sortCondition ref="B4:B23"/>
    </sortState>
  </autoFilter>
  <mergeCells count="10">
    <mergeCell ref="A1:B1"/>
    <mergeCell ref="A2:A3"/>
    <mergeCell ref="B2:B3"/>
    <mergeCell ref="C2:C3"/>
    <mergeCell ref="D2:D3"/>
    <mergeCell ref="Q2:Q3"/>
    <mergeCell ref="C1:Q1"/>
    <mergeCell ref="M2:P2"/>
    <mergeCell ref="E2:H2"/>
    <mergeCell ref="I2:L2"/>
  </mergeCells>
  <dataValidations count="2">
    <dataValidation type="list" allowBlank="1" showErrorMessage="1" sqref="D5:D23" xr:uid="{00000000-0002-0000-0700-000000000000}">
      <formula1>"A,I"</formula1>
    </dataValidation>
    <dataValidation type="list" allowBlank="1" showErrorMessage="1" sqref="C5:C23" xr:uid="{00000000-0002-0000-0700-000001000000}">
      <formula1>"1,2,K"</formula1>
    </dataValidation>
  </dataValidations>
  <pageMargins left="0.7" right="0.7" top="0.75" bottom="0.7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A9999"/>
  </sheetPr>
  <dimension ref="A1:O88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0.07421875" defaultRowHeight="15" customHeight="1" x14ac:dyDescent="0.35"/>
  <cols>
    <col min="1" max="1" width="3.23046875" customWidth="1"/>
    <col min="2" max="2" width="25.765625" customWidth="1"/>
    <col min="3" max="3" width="5.61328125" customWidth="1"/>
    <col min="4" max="4" width="4.3828125" customWidth="1"/>
    <col min="5" max="5" width="5.765625" customWidth="1"/>
    <col min="6" max="6" width="11.3828125" customWidth="1"/>
    <col min="7" max="10" width="6.07421875" customWidth="1"/>
    <col min="11" max="11" width="10" customWidth="1"/>
    <col min="12" max="14" width="3.921875" customWidth="1"/>
    <col min="15" max="15" width="5" customWidth="1"/>
  </cols>
  <sheetData>
    <row r="1" spans="1:15" ht="18.75" customHeight="1" x14ac:dyDescent="0.35">
      <c r="A1" s="99" t="s">
        <v>0</v>
      </c>
      <c r="B1" s="100"/>
      <c r="C1" s="95" t="s">
        <v>51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7"/>
    </row>
    <row r="2" spans="1:15" ht="15.5" x14ac:dyDescent="0.35">
      <c r="A2" s="101" t="s">
        <v>2</v>
      </c>
      <c r="B2" s="103" t="s">
        <v>3</v>
      </c>
      <c r="C2" s="105" t="s">
        <v>4</v>
      </c>
      <c r="D2" s="103" t="s">
        <v>52</v>
      </c>
      <c r="E2" s="103" t="s">
        <v>53</v>
      </c>
      <c r="F2" s="103" t="s">
        <v>54</v>
      </c>
      <c r="G2" s="108" t="s">
        <v>48</v>
      </c>
      <c r="H2" s="109"/>
      <c r="I2" s="109"/>
      <c r="J2" s="3" t="s">
        <v>49</v>
      </c>
      <c r="K2" s="110" t="s">
        <v>55</v>
      </c>
      <c r="L2" s="108" t="s">
        <v>56</v>
      </c>
      <c r="M2" s="109"/>
      <c r="N2" s="111"/>
      <c r="O2" s="112" t="s">
        <v>6</v>
      </c>
    </row>
    <row r="3" spans="1:15" ht="14.25" customHeight="1" x14ac:dyDescent="0.35">
      <c r="A3" s="102"/>
      <c r="B3" s="104"/>
      <c r="C3" s="104"/>
      <c r="D3" s="104"/>
      <c r="E3" s="104"/>
      <c r="F3" s="104"/>
      <c r="G3" s="2">
        <v>14</v>
      </c>
      <c r="H3" s="2">
        <v>21</v>
      </c>
      <c r="I3" s="2">
        <v>28</v>
      </c>
      <c r="J3" s="2">
        <v>11</v>
      </c>
      <c r="K3" s="104"/>
      <c r="L3" s="2">
        <v>1</v>
      </c>
      <c r="M3" s="2">
        <v>2</v>
      </c>
      <c r="N3" s="2">
        <v>3</v>
      </c>
      <c r="O3" s="113"/>
    </row>
    <row r="4" spans="1:15" ht="12" customHeight="1" x14ac:dyDescent="0.35">
      <c r="A4" s="5"/>
      <c r="B4" s="6"/>
      <c r="C4" s="7"/>
      <c r="D4" s="59"/>
      <c r="E4" s="59"/>
      <c r="F4" s="2"/>
      <c r="G4" s="2"/>
      <c r="H4" s="2"/>
      <c r="I4" s="2"/>
      <c r="J4" s="2"/>
      <c r="K4" s="2"/>
      <c r="L4" s="2"/>
      <c r="M4" s="2"/>
      <c r="N4" s="2"/>
      <c r="O4" s="76"/>
    </row>
    <row r="5" spans="1:15" ht="22.5" customHeight="1" x14ac:dyDescent="0.35">
      <c r="A5" s="10">
        <v>1</v>
      </c>
      <c r="B5" s="38"/>
      <c r="C5" s="7"/>
      <c r="D5" s="77"/>
      <c r="E5" s="72"/>
      <c r="F5" s="59"/>
      <c r="G5" s="2"/>
      <c r="H5" s="13"/>
      <c r="I5" s="13"/>
      <c r="J5" s="13"/>
      <c r="K5" s="13">
        <f t="shared" ref="K5:K9" si="0">COUNTIF(G5:H5,"A")</f>
        <v>0</v>
      </c>
      <c r="L5" s="13"/>
      <c r="M5" s="13"/>
      <c r="N5" s="13"/>
      <c r="O5" s="76"/>
    </row>
    <row r="6" spans="1:15" ht="22.5" customHeight="1" x14ac:dyDescent="0.35">
      <c r="A6" s="10">
        <v>2</v>
      </c>
      <c r="B6" s="6"/>
      <c r="C6" s="7"/>
      <c r="D6" s="77"/>
      <c r="E6" s="72"/>
      <c r="F6" s="59"/>
      <c r="G6" s="2"/>
      <c r="H6" s="13"/>
      <c r="I6" s="13"/>
      <c r="J6" s="13"/>
      <c r="K6" s="13">
        <f t="shared" si="0"/>
        <v>0</v>
      </c>
      <c r="L6" s="13"/>
      <c r="M6" s="13"/>
      <c r="N6" s="13"/>
      <c r="O6" s="76"/>
    </row>
    <row r="7" spans="1:15" ht="22.5" customHeight="1" x14ac:dyDescent="0.35">
      <c r="A7" s="10">
        <v>3</v>
      </c>
      <c r="B7" s="11"/>
      <c r="C7" s="7"/>
      <c r="D7" s="77"/>
      <c r="E7" s="72"/>
      <c r="F7" s="59"/>
      <c r="G7" s="2"/>
      <c r="H7" s="13"/>
      <c r="I7" s="13"/>
      <c r="J7" s="13"/>
      <c r="K7" s="13">
        <f t="shared" si="0"/>
        <v>0</v>
      </c>
      <c r="L7" s="13"/>
      <c r="M7" s="13"/>
      <c r="N7" s="13"/>
      <c r="O7" s="76"/>
    </row>
    <row r="8" spans="1:15" ht="22.5" customHeight="1" x14ac:dyDescent="0.35">
      <c r="A8" s="10">
        <v>4</v>
      </c>
      <c r="B8" s="6"/>
      <c r="C8" s="7"/>
      <c r="D8" s="77"/>
      <c r="E8" s="72"/>
      <c r="F8" s="59"/>
      <c r="G8" s="2"/>
      <c r="H8" s="13"/>
      <c r="I8" s="13"/>
      <c r="J8" s="13"/>
      <c r="K8" s="13">
        <f t="shared" si="0"/>
        <v>0</v>
      </c>
      <c r="L8" s="13"/>
      <c r="M8" s="13"/>
      <c r="N8" s="13"/>
      <c r="O8" s="73"/>
    </row>
    <row r="9" spans="1:15" ht="22.5" customHeight="1" x14ac:dyDescent="0.35">
      <c r="A9" s="28">
        <v>5</v>
      </c>
      <c r="B9" s="29"/>
      <c r="C9" s="47"/>
      <c r="D9" s="78"/>
      <c r="E9" s="79"/>
      <c r="F9" s="60"/>
      <c r="G9" s="75"/>
      <c r="H9" s="75"/>
      <c r="I9" s="75"/>
      <c r="J9" s="75"/>
      <c r="K9" s="57">
        <f t="shared" si="0"/>
        <v>0</v>
      </c>
      <c r="L9" s="57"/>
      <c r="M9" s="57"/>
      <c r="N9" s="57"/>
      <c r="O9" s="52"/>
    </row>
    <row r="10" spans="1:15" ht="30" customHeight="1" x14ac:dyDescent="0.35">
      <c r="A10" s="33"/>
      <c r="B10" s="34"/>
      <c r="C10" s="35"/>
      <c r="D10" s="34"/>
      <c r="E10" s="34"/>
      <c r="F10" s="80" t="s">
        <v>57</v>
      </c>
      <c r="G10" s="74">
        <f t="shared" ref="G10:J10" si="1">COUNTIF(G5:G9,"X")</f>
        <v>0</v>
      </c>
      <c r="H10" s="74">
        <f t="shared" si="1"/>
        <v>0</v>
      </c>
      <c r="I10" s="74">
        <f t="shared" si="1"/>
        <v>0</v>
      </c>
      <c r="J10" s="71">
        <f t="shared" si="1"/>
        <v>0</v>
      </c>
      <c r="K10" s="36"/>
      <c r="L10" s="36"/>
      <c r="M10" s="36"/>
      <c r="N10" s="36"/>
      <c r="O10" s="36"/>
    </row>
    <row r="11" spans="1:15" ht="30" customHeight="1" x14ac:dyDescent="0.35">
      <c r="A11" s="33"/>
      <c r="B11" s="34"/>
      <c r="C11" s="35"/>
      <c r="D11" s="34"/>
      <c r="E11" s="34"/>
      <c r="F11" s="81" t="s">
        <v>58</v>
      </c>
      <c r="G11" s="2">
        <f t="shared" ref="G11:J11" si="2">COUNTIF(G5:G9,"J")</f>
        <v>0</v>
      </c>
      <c r="H11" s="2">
        <f t="shared" si="2"/>
        <v>0</v>
      </c>
      <c r="I11" s="2">
        <f t="shared" si="2"/>
        <v>0</v>
      </c>
      <c r="J11" s="4">
        <f t="shared" si="2"/>
        <v>0</v>
      </c>
      <c r="K11" s="36"/>
      <c r="L11" s="36"/>
      <c r="M11" s="36"/>
      <c r="N11" s="36"/>
      <c r="O11" s="36"/>
    </row>
    <row r="12" spans="1:15" ht="30" customHeight="1" x14ac:dyDescent="0.35">
      <c r="A12" s="33"/>
      <c r="B12" s="34"/>
      <c r="C12" s="35"/>
      <c r="D12" s="34"/>
      <c r="E12" s="34"/>
      <c r="F12" s="81" t="s">
        <v>59</v>
      </c>
      <c r="G12" s="2">
        <f t="shared" ref="G12:J12" si="3">COUNTIF(G5:G9,"T")</f>
        <v>0</v>
      </c>
      <c r="H12" s="2">
        <f t="shared" si="3"/>
        <v>0</v>
      </c>
      <c r="I12" s="2">
        <f t="shared" si="3"/>
        <v>0</v>
      </c>
      <c r="J12" s="4">
        <f t="shared" si="3"/>
        <v>0</v>
      </c>
      <c r="K12" s="36"/>
      <c r="L12" s="36"/>
      <c r="M12" s="36"/>
      <c r="N12" s="36"/>
      <c r="O12" s="36"/>
    </row>
    <row r="13" spans="1:15" ht="30" customHeight="1" x14ac:dyDescent="0.35">
      <c r="A13" s="33"/>
      <c r="B13" s="34"/>
      <c r="C13" s="35"/>
      <c r="D13" s="34"/>
      <c r="E13" s="34"/>
      <c r="F13" s="81" t="s">
        <v>60</v>
      </c>
      <c r="G13" s="2">
        <f t="shared" ref="G13:J13" si="4">COUNTIF(G5:G9,"A")</f>
        <v>0</v>
      </c>
      <c r="H13" s="2">
        <f t="shared" si="4"/>
        <v>0</v>
      </c>
      <c r="I13" s="2">
        <f t="shared" si="4"/>
        <v>0</v>
      </c>
      <c r="J13" s="4">
        <f t="shared" si="4"/>
        <v>0</v>
      </c>
      <c r="K13" s="36"/>
      <c r="L13" s="36"/>
      <c r="M13" s="36"/>
      <c r="N13" s="36"/>
      <c r="O13" s="36"/>
    </row>
    <row r="14" spans="1:15" ht="30" customHeight="1" x14ac:dyDescent="0.35">
      <c r="A14" s="33"/>
      <c r="B14" s="34"/>
      <c r="C14" s="35"/>
      <c r="D14" s="34"/>
      <c r="E14" s="34"/>
      <c r="F14" s="82" t="s">
        <v>61</v>
      </c>
      <c r="G14" s="30">
        <f t="shared" ref="G14:J14" si="5">SUM(G10:G13)</f>
        <v>0</v>
      </c>
      <c r="H14" s="30">
        <f t="shared" si="5"/>
        <v>0</v>
      </c>
      <c r="I14" s="30">
        <f t="shared" si="5"/>
        <v>0</v>
      </c>
      <c r="J14" s="32">
        <f t="shared" si="5"/>
        <v>0</v>
      </c>
      <c r="K14" s="36"/>
      <c r="L14" s="36"/>
      <c r="M14" s="36"/>
      <c r="N14" s="36"/>
      <c r="O14" s="36"/>
    </row>
    <row r="15" spans="1:15" ht="26.25" customHeight="1" x14ac:dyDescent="0.35">
      <c r="A15" s="37"/>
      <c r="B15" s="38"/>
      <c r="C15" s="39"/>
      <c r="D15" s="40"/>
      <c r="E15" s="40"/>
      <c r="F15" s="40"/>
      <c r="G15" s="40"/>
      <c r="H15" s="40"/>
      <c r="I15" s="40"/>
      <c r="J15" s="40"/>
      <c r="K15" s="34"/>
      <c r="L15" s="34"/>
      <c r="M15" s="34"/>
      <c r="N15" s="34"/>
      <c r="O15" s="34"/>
    </row>
    <row r="16" spans="1:15" ht="26.25" customHeight="1" x14ac:dyDescent="0.35">
      <c r="A16" s="37"/>
      <c r="B16" s="38"/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</row>
    <row r="17" spans="1:15" ht="26.25" customHeight="1" x14ac:dyDescent="0.35">
      <c r="A17" s="37"/>
      <c r="B17" s="38"/>
      <c r="C17" s="39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spans="1:15" ht="26.25" customHeight="1" x14ac:dyDescent="0.35">
      <c r="A18" s="37"/>
      <c r="B18" s="38"/>
      <c r="C18" s="39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</row>
    <row r="19" spans="1:15" ht="13.5" customHeight="1" x14ac:dyDescent="0.35">
      <c r="A19" s="37"/>
      <c r="B19" s="38"/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customHeight="1" x14ac:dyDescent="0.35">
      <c r="A20" s="37"/>
      <c r="B20" s="38"/>
      <c r="C20" s="39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</row>
    <row r="21" spans="1:15" ht="13.5" customHeight="1" x14ac:dyDescent="0.35">
      <c r="A21" s="37"/>
      <c r="B21" s="38"/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</row>
    <row r="22" spans="1:15" ht="13.5" customHeight="1" x14ac:dyDescent="0.35">
      <c r="A22" s="37"/>
      <c r="B22" s="38"/>
      <c r="C22" s="3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</row>
    <row r="23" spans="1:15" ht="13.5" customHeight="1" x14ac:dyDescent="0.35">
      <c r="A23" s="37"/>
      <c r="B23" s="38"/>
      <c r="C23" s="39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</row>
    <row r="24" spans="1:15" ht="13.5" customHeight="1" x14ac:dyDescent="0.35">
      <c r="A24" s="37"/>
      <c r="B24" s="38"/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</row>
    <row r="25" spans="1:15" ht="13.5" customHeight="1" x14ac:dyDescent="0.35">
      <c r="A25" s="37"/>
      <c r="B25" s="38"/>
      <c r="C25" s="39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</row>
    <row r="26" spans="1:15" ht="13.5" customHeight="1" x14ac:dyDescent="0.35">
      <c r="A26" s="37"/>
      <c r="B26" s="38"/>
      <c r="C26" s="39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</row>
    <row r="27" spans="1:15" ht="13.5" customHeight="1" x14ac:dyDescent="0.35">
      <c r="A27" s="37"/>
      <c r="B27" s="38"/>
      <c r="C27" s="39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</row>
    <row r="28" spans="1:15" ht="13.5" customHeight="1" x14ac:dyDescent="0.35">
      <c r="A28" s="37"/>
      <c r="B28" s="38"/>
      <c r="C28" s="39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</row>
    <row r="29" spans="1:15" ht="13.5" customHeight="1" x14ac:dyDescent="0.35">
      <c r="A29" s="37"/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</row>
    <row r="30" spans="1:15" ht="13.5" customHeight="1" x14ac:dyDescent="0.35">
      <c r="A30" s="37"/>
      <c r="B30" s="38"/>
      <c r="C30" s="39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</row>
    <row r="31" spans="1:15" ht="13.5" customHeight="1" x14ac:dyDescent="0.35">
      <c r="A31" s="37"/>
      <c r="B31" s="38"/>
      <c r="C31" s="39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</row>
    <row r="32" spans="1:15" ht="13.5" customHeight="1" x14ac:dyDescent="0.35">
      <c r="A32" s="37"/>
      <c r="B32" s="38"/>
      <c r="C32" s="39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</row>
    <row r="33" spans="1:15" ht="13.5" customHeight="1" x14ac:dyDescent="0.35">
      <c r="A33" s="37"/>
      <c r="B33" s="38"/>
      <c r="C33" s="39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</row>
    <row r="34" spans="1:15" ht="13.5" customHeight="1" x14ac:dyDescent="0.35">
      <c r="A34" s="37"/>
      <c r="B34" s="38"/>
      <c r="C34" s="39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</row>
    <row r="35" spans="1:15" ht="13.5" customHeight="1" x14ac:dyDescent="0.35">
      <c r="A35" s="37"/>
      <c r="B35" s="38"/>
      <c r="C35" s="39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</row>
    <row r="36" spans="1:15" ht="13.5" customHeight="1" x14ac:dyDescent="0.35">
      <c r="A36" s="37"/>
      <c r="B36" s="38"/>
      <c r="C36" s="39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</row>
    <row r="37" spans="1:15" ht="13.5" customHeight="1" x14ac:dyDescent="0.35">
      <c r="A37" s="37"/>
      <c r="B37" s="38"/>
      <c r="C37" s="39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</row>
    <row r="38" spans="1:15" ht="13.5" customHeight="1" x14ac:dyDescent="0.35">
      <c r="A38" s="37"/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</row>
    <row r="39" spans="1:15" ht="13.5" customHeight="1" x14ac:dyDescent="0.35">
      <c r="A39" s="37"/>
      <c r="B39" s="38"/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</row>
    <row r="40" spans="1:15" ht="13.5" customHeight="1" x14ac:dyDescent="0.35">
      <c r="A40" s="37"/>
      <c r="B40" s="38"/>
      <c r="C40" s="39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1:15" ht="13.5" customHeight="1" x14ac:dyDescent="0.35">
      <c r="A41" s="37"/>
      <c r="B41" s="38"/>
      <c r="C41" s="39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42" spans="1:15" ht="13.5" customHeight="1" x14ac:dyDescent="0.35">
      <c r="A42" s="37"/>
      <c r="B42" s="38"/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1:15" ht="13.5" customHeight="1" x14ac:dyDescent="0.35">
      <c r="A43" s="37"/>
      <c r="B43" s="38"/>
      <c r="C43" s="39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1:15" ht="13.5" customHeight="1" x14ac:dyDescent="0.35">
      <c r="A44" s="37"/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</row>
    <row r="45" spans="1:15" ht="13.5" customHeight="1" x14ac:dyDescent="0.35">
      <c r="A45" s="37"/>
      <c r="B45" s="38"/>
      <c r="C45" s="39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spans="1:15" ht="13.5" customHeight="1" x14ac:dyDescent="0.35">
      <c r="A46" s="37"/>
      <c r="B46" s="38"/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1:15" ht="13.5" customHeight="1" x14ac:dyDescent="0.35">
      <c r="A47" s="37"/>
      <c r="B47" s="38"/>
      <c r="C47" s="39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spans="1:15" ht="13.5" customHeight="1" x14ac:dyDescent="0.35">
      <c r="A48" s="37"/>
      <c r="B48" s="38"/>
      <c r="C48" s="39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1:15" ht="13.5" customHeight="1" x14ac:dyDescent="0.35">
      <c r="A49" s="37"/>
      <c r="B49" s="38"/>
      <c r="C49" s="39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1:15" ht="13.5" customHeight="1" x14ac:dyDescent="0.35">
      <c r="A50" s="37"/>
      <c r="B50" s="38"/>
      <c r="C50" s="39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1:15" ht="13.5" customHeight="1" x14ac:dyDescent="0.35">
      <c r="A51" s="37"/>
      <c r="B51" s="38"/>
      <c r="C51" s="39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1:15" ht="13.5" customHeight="1" x14ac:dyDescent="0.35">
      <c r="A52" s="37"/>
      <c r="B52" s="38"/>
      <c r="C52" s="39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  <row r="53" spans="1:15" ht="13.5" customHeight="1" x14ac:dyDescent="0.35">
      <c r="A53" s="37"/>
      <c r="B53" s="38"/>
      <c r="C53" s="39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</row>
    <row r="54" spans="1:15" ht="13.5" customHeight="1" x14ac:dyDescent="0.35">
      <c r="A54" s="37"/>
      <c r="B54" s="38"/>
      <c r="C54" s="39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</row>
    <row r="55" spans="1:15" ht="13.5" customHeight="1" x14ac:dyDescent="0.35">
      <c r="A55" s="37"/>
      <c r="B55" s="38"/>
      <c r="C55" s="39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</row>
    <row r="56" spans="1:15" ht="13.5" customHeight="1" x14ac:dyDescent="0.35">
      <c r="A56" s="37"/>
      <c r="B56" s="38"/>
      <c r="C56" s="39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</row>
    <row r="57" spans="1:15" ht="13.5" customHeight="1" x14ac:dyDescent="0.35">
      <c r="A57" s="37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</row>
    <row r="58" spans="1:15" ht="13.5" customHeight="1" x14ac:dyDescent="0.35">
      <c r="A58" s="37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</row>
    <row r="59" spans="1:15" ht="13.5" customHeight="1" x14ac:dyDescent="0.35">
      <c r="A59" s="37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</row>
    <row r="60" spans="1:15" ht="13.5" customHeight="1" x14ac:dyDescent="0.35">
      <c r="A60" s="37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  <row r="61" spans="1:15" ht="13.5" customHeight="1" x14ac:dyDescent="0.35">
      <c r="A61" s="37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</row>
    <row r="62" spans="1:15" ht="13.5" customHeight="1" x14ac:dyDescent="0.35">
      <c r="A62" s="37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</row>
    <row r="63" spans="1:15" ht="13.5" customHeight="1" x14ac:dyDescent="0.35">
      <c r="A63" s="37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</row>
    <row r="64" spans="1:15" ht="13.5" customHeight="1" x14ac:dyDescent="0.35">
      <c r="A64" s="37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</row>
    <row r="65" spans="1:15" ht="13.5" customHeight="1" x14ac:dyDescent="0.35">
      <c r="A65" s="37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</row>
    <row r="66" spans="1:15" ht="13.5" customHeight="1" x14ac:dyDescent="0.35">
      <c r="A66" s="37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</row>
    <row r="67" spans="1:15" ht="13.5" customHeight="1" x14ac:dyDescent="0.35">
      <c r="A67" s="37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</row>
    <row r="68" spans="1:15" ht="13.5" customHeight="1" x14ac:dyDescent="0.35">
      <c r="A68" s="37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spans="1:15" ht="13.5" customHeight="1" x14ac:dyDescent="0.35">
      <c r="A69" s="37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</row>
    <row r="70" spans="1:15" ht="13.5" customHeight="1" x14ac:dyDescent="0.35">
      <c r="A70" s="37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</row>
    <row r="71" spans="1:15" ht="13.5" customHeight="1" x14ac:dyDescent="0.35">
      <c r="A71" s="37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</row>
    <row r="72" spans="1:15" ht="13.5" customHeight="1" x14ac:dyDescent="0.35">
      <c r="A72" s="37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</row>
    <row r="73" spans="1:15" ht="13.5" customHeight="1" x14ac:dyDescent="0.35">
      <c r="A73" s="37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</row>
    <row r="74" spans="1:15" ht="13.5" customHeight="1" x14ac:dyDescent="0.35">
      <c r="A74" s="37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</row>
    <row r="75" spans="1:15" ht="13.5" customHeight="1" x14ac:dyDescent="0.35">
      <c r="A75" s="37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</row>
    <row r="76" spans="1:15" ht="13.5" customHeight="1" x14ac:dyDescent="0.35">
      <c r="A76" s="37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</row>
    <row r="77" spans="1:15" ht="13.5" customHeight="1" x14ac:dyDescent="0.35">
      <c r="A77" s="37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</row>
    <row r="78" spans="1:15" ht="13.5" customHeight="1" x14ac:dyDescent="0.35">
      <c r="A78" s="37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</row>
    <row r="79" spans="1:15" ht="13.5" customHeight="1" x14ac:dyDescent="0.35">
      <c r="A79" s="37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</row>
    <row r="80" spans="1:15" ht="13.5" customHeight="1" x14ac:dyDescent="0.35">
      <c r="A80" s="37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1" spans="1:15" ht="13.5" customHeight="1" x14ac:dyDescent="0.35">
      <c r="A81" s="37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</row>
    <row r="82" spans="1:15" ht="13.5" customHeight="1" x14ac:dyDescent="0.35">
      <c r="A82" s="37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</row>
    <row r="83" spans="1:15" ht="13.5" customHeight="1" x14ac:dyDescent="0.35">
      <c r="A83" s="37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</row>
    <row r="84" spans="1:15" ht="13.5" customHeight="1" x14ac:dyDescent="0.35">
      <c r="A84" s="37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</row>
    <row r="85" spans="1:15" ht="13.5" customHeight="1" x14ac:dyDescent="0.35">
      <c r="A85" s="37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</row>
    <row r="86" spans="1:15" ht="13.5" customHeight="1" x14ac:dyDescent="0.35">
      <c r="A86" s="37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</row>
    <row r="87" spans="1:15" ht="13.5" customHeight="1" x14ac:dyDescent="0.35">
      <c r="A87" s="37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</row>
    <row r="88" spans="1:15" ht="13.5" customHeight="1" x14ac:dyDescent="0.35">
      <c r="A88" s="37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</row>
    <row r="89" spans="1:15" ht="13.5" customHeight="1" x14ac:dyDescent="0.35">
      <c r="A89" s="37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</row>
    <row r="90" spans="1:15" ht="13.5" customHeight="1" x14ac:dyDescent="0.35">
      <c r="A90" s="37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spans="1:15" ht="13.5" customHeight="1" x14ac:dyDescent="0.35">
      <c r="A91" s="37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</row>
    <row r="92" spans="1:15" ht="13.5" customHeight="1" x14ac:dyDescent="0.35">
      <c r="A92" s="37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</row>
    <row r="93" spans="1:15" ht="13.5" customHeight="1" x14ac:dyDescent="0.35">
      <c r="A93" s="37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</row>
    <row r="94" spans="1:15" ht="13.5" customHeight="1" x14ac:dyDescent="0.35">
      <c r="A94" s="37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</row>
    <row r="95" spans="1:15" ht="13.5" customHeight="1" x14ac:dyDescent="0.35">
      <c r="A95" s="37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</row>
    <row r="96" spans="1:15" ht="13.5" customHeight="1" x14ac:dyDescent="0.35">
      <c r="A96" s="37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</row>
    <row r="97" spans="1:15" ht="13.5" customHeight="1" x14ac:dyDescent="0.35">
      <c r="A97" s="37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</row>
    <row r="98" spans="1:15" ht="13.5" customHeight="1" x14ac:dyDescent="0.35">
      <c r="A98" s="37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</row>
    <row r="99" spans="1:15" ht="13.5" customHeight="1" x14ac:dyDescent="0.35">
      <c r="A99" s="37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</row>
    <row r="100" spans="1:15" ht="13.5" customHeight="1" x14ac:dyDescent="0.35">
      <c r="A100" s="37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</row>
    <row r="101" spans="1:15" ht="13.5" customHeight="1" x14ac:dyDescent="0.35">
      <c r="A101" s="37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</row>
    <row r="102" spans="1:15" ht="13.5" customHeight="1" x14ac:dyDescent="0.35">
      <c r="A102" s="37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</row>
    <row r="103" spans="1:15" ht="13.5" customHeight="1" x14ac:dyDescent="0.35">
      <c r="A103" s="37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</row>
    <row r="104" spans="1:15" ht="13.5" customHeight="1" x14ac:dyDescent="0.35">
      <c r="A104" s="37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</row>
    <row r="105" spans="1:15" ht="13.5" customHeight="1" x14ac:dyDescent="0.35">
      <c r="A105" s="37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</row>
    <row r="106" spans="1:15" ht="13.5" customHeight="1" x14ac:dyDescent="0.35">
      <c r="A106" s="37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</row>
    <row r="107" spans="1:15" ht="13.5" customHeight="1" x14ac:dyDescent="0.35">
      <c r="A107" s="37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</row>
    <row r="108" spans="1:15" ht="13.5" customHeight="1" x14ac:dyDescent="0.35">
      <c r="A108" s="37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</row>
    <row r="109" spans="1:15" ht="13.5" customHeight="1" x14ac:dyDescent="0.35">
      <c r="A109" s="37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</row>
    <row r="110" spans="1:15" ht="15.75" customHeight="1" x14ac:dyDescent="0.35">
      <c r="A110" s="40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</row>
    <row r="111" spans="1:15" ht="15.75" customHeight="1" x14ac:dyDescent="0.35">
      <c r="A111" s="40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</row>
    <row r="112" spans="1:15" ht="15.75" customHeight="1" x14ac:dyDescent="0.35">
      <c r="A112" s="40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</row>
    <row r="113" spans="1:15" ht="15.75" customHeight="1" x14ac:dyDescent="0.35">
      <c r="A113" s="40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</row>
    <row r="114" spans="1:15" ht="15.75" customHeight="1" x14ac:dyDescent="0.35">
      <c r="A114" s="40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</row>
    <row r="115" spans="1:15" ht="15.75" customHeight="1" x14ac:dyDescent="0.35">
      <c r="A115" s="40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</row>
    <row r="116" spans="1:15" ht="15.75" customHeight="1" x14ac:dyDescent="0.35">
      <c r="A116" s="40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</row>
    <row r="117" spans="1:15" ht="15.75" customHeight="1" x14ac:dyDescent="0.35">
      <c r="A117" s="40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</row>
    <row r="118" spans="1:15" ht="15.75" customHeight="1" x14ac:dyDescent="0.35">
      <c r="A118" s="40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5.75" customHeight="1" x14ac:dyDescent="0.35">
      <c r="A119" s="40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5.75" customHeight="1" x14ac:dyDescent="0.35">
      <c r="A120" s="40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</row>
    <row r="121" spans="1:15" ht="15.75" customHeight="1" x14ac:dyDescent="0.35">
      <c r="A121" s="40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</row>
    <row r="122" spans="1:15" ht="15.75" customHeight="1" x14ac:dyDescent="0.35">
      <c r="A122" s="40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</row>
    <row r="123" spans="1:15" ht="15.75" customHeight="1" x14ac:dyDescent="0.35">
      <c r="A123" s="40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</row>
    <row r="124" spans="1:15" ht="15.75" customHeight="1" x14ac:dyDescent="0.35">
      <c r="A124" s="40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</row>
    <row r="125" spans="1:15" ht="15.75" customHeight="1" x14ac:dyDescent="0.35">
      <c r="A125" s="40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</row>
    <row r="126" spans="1:15" ht="15.75" customHeight="1" x14ac:dyDescent="0.35">
      <c r="A126" s="40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5.75" customHeight="1" x14ac:dyDescent="0.35">
      <c r="A127" s="40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5.75" customHeight="1" x14ac:dyDescent="0.35">
      <c r="A128" s="40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5.75" customHeight="1" x14ac:dyDescent="0.35">
      <c r="A129" s="40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5.75" customHeight="1" x14ac:dyDescent="0.35">
      <c r="A130" s="40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5.75" customHeight="1" x14ac:dyDescent="0.35">
      <c r="A131" s="40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5.75" customHeight="1" x14ac:dyDescent="0.35">
      <c r="A132" s="40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5.75" customHeight="1" x14ac:dyDescent="0.35">
      <c r="A133" s="40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5.75" customHeight="1" x14ac:dyDescent="0.35">
      <c r="A134" s="40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5.75" customHeight="1" x14ac:dyDescent="0.35">
      <c r="A135" s="40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5.75" customHeight="1" x14ac:dyDescent="0.35">
      <c r="A136" s="40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5.75" customHeight="1" x14ac:dyDescent="0.35">
      <c r="A137" s="40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5.75" customHeight="1" x14ac:dyDescent="0.35">
      <c r="A138" s="40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5.75" customHeight="1" x14ac:dyDescent="0.35">
      <c r="A139" s="40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5.75" customHeight="1" x14ac:dyDescent="0.35">
      <c r="A140" s="40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5.75" customHeight="1" x14ac:dyDescent="0.35">
      <c r="A141" s="40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5.75" customHeight="1" x14ac:dyDescent="0.35">
      <c r="A142" s="40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5.75" customHeight="1" x14ac:dyDescent="0.35">
      <c r="A143" s="40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5.75" customHeight="1" x14ac:dyDescent="0.35">
      <c r="A144" s="40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5.75" customHeight="1" x14ac:dyDescent="0.35">
      <c r="A145" s="40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5.75" customHeight="1" x14ac:dyDescent="0.35">
      <c r="A146" s="40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5.75" customHeight="1" x14ac:dyDescent="0.35">
      <c r="A147" s="40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5.75" customHeight="1" x14ac:dyDescent="0.35">
      <c r="A148" s="40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5.75" customHeight="1" x14ac:dyDescent="0.35">
      <c r="A149" s="40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5.75" customHeight="1" x14ac:dyDescent="0.35">
      <c r="A150" s="40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5.75" customHeight="1" x14ac:dyDescent="0.35">
      <c r="A151" s="40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5.75" customHeight="1" x14ac:dyDescent="0.35">
      <c r="A152" s="40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5.75" customHeight="1" x14ac:dyDescent="0.35">
      <c r="A153" s="40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5.75" customHeight="1" x14ac:dyDescent="0.35">
      <c r="A154" s="40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5.75" customHeight="1" x14ac:dyDescent="0.35">
      <c r="A155" s="40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5.75" customHeight="1" x14ac:dyDescent="0.35">
      <c r="A156" s="40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5.75" customHeight="1" x14ac:dyDescent="0.35">
      <c r="A157" s="40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5.75" customHeight="1" x14ac:dyDescent="0.35">
      <c r="A158" s="40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5.75" customHeight="1" x14ac:dyDescent="0.35">
      <c r="A159" s="40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5.75" customHeight="1" x14ac:dyDescent="0.35">
      <c r="A160" s="40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5.75" customHeight="1" x14ac:dyDescent="0.35">
      <c r="A161" s="40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5.75" customHeight="1" x14ac:dyDescent="0.35">
      <c r="A162" s="40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5.75" customHeight="1" x14ac:dyDescent="0.35">
      <c r="A163" s="40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5.75" customHeight="1" x14ac:dyDescent="0.35">
      <c r="A164" s="40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5.75" customHeight="1" x14ac:dyDescent="0.35">
      <c r="A165" s="40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5.75" customHeight="1" x14ac:dyDescent="0.35">
      <c r="A166" s="40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5.75" customHeight="1" x14ac:dyDescent="0.35">
      <c r="A167" s="40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5.75" customHeight="1" x14ac:dyDescent="0.35">
      <c r="A168" s="40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5.75" customHeight="1" x14ac:dyDescent="0.35">
      <c r="A169" s="40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5.75" customHeight="1" x14ac:dyDescent="0.35">
      <c r="A170" s="40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5.75" customHeight="1" x14ac:dyDescent="0.35">
      <c r="A171" s="40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5.75" customHeight="1" x14ac:dyDescent="0.35">
      <c r="A172" s="40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5.75" customHeight="1" x14ac:dyDescent="0.35">
      <c r="A173" s="40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5.75" customHeight="1" x14ac:dyDescent="0.35">
      <c r="A174" s="40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5.75" customHeight="1" x14ac:dyDescent="0.35">
      <c r="A175" s="40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5.75" customHeight="1" x14ac:dyDescent="0.35">
      <c r="A176" s="40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5.75" customHeight="1" x14ac:dyDescent="0.35">
      <c r="A177" s="40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5.75" customHeight="1" x14ac:dyDescent="0.35">
      <c r="A178" s="40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5.75" customHeight="1" x14ac:dyDescent="0.35">
      <c r="A179" s="40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5.75" customHeight="1" x14ac:dyDescent="0.35">
      <c r="A180" s="40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5.75" customHeight="1" x14ac:dyDescent="0.35">
      <c r="A181" s="40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5.75" customHeight="1" x14ac:dyDescent="0.35">
      <c r="A182" s="40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5.75" customHeight="1" x14ac:dyDescent="0.35">
      <c r="A183" s="40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5.75" customHeight="1" x14ac:dyDescent="0.35">
      <c r="A184" s="40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5.75" customHeight="1" x14ac:dyDescent="0.35">
      <c r="A185" s="40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5.75" customHeight="1" x14ac:dyDescent="0.35">
      <c r="A186" s="40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5.75" customHeight="1" x14ac:dyDescent="0.35">
      <c r="A187" s="40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5.75" customHeight="1" x14ac:dyDescent="0.35">
      <c r="A188" s="40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5.75" customHeight="1" x14ac:dyDescent="0.35">
      <c r="A189" s="40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5.75" customHeight="1" x14ac:dyDescent="0.35">
      <c r="A190" s="40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5.75" customHeight="1" x14ac:dyDescent="0.35">
      <c r="A191" s="40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5.75" customHeight="1" x14ac:dyDescent="0.35">
      <c r="A192" s="40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5.75" customHeight="1" x14ac:dyDescent="0.35">
      <c r="A193" s="40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5.75" customHeight="1" x14ac:dyDescent="0.35">
      <c r="A194" s="40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5.75" customHeight="1" x14ac:dyDescent="0.35">
      <c r="A195" s="40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5.75" customHeight="1" x14ac:dyDescent="0.35">
      <c r="A196" s="40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5.75" customHeight="1" x14ac:dyDescent="0.35">
      <c r="A197" s="40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5.75" customHeight="1" x14ac:dyDescent="0.35">
      <c r="A198" s="40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5.75" customHeight="1" x14ac:dyDescent="0.35">
      <c r="A199" s="40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5.75" customHeight="1" x14ac:dyDescent="0.35">
      <c r="A200" s="40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5.75" customHeight="1" x14ac:dyDescent="0.35">
      <c r="A201" s="40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5.75" customHeight="1" x14ac:dyDescent="0.35">
      <c r="A202" s="40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5.75" customHeight="1" x14ac:dyDescent="0.35">
      <c r="A203" s="40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5.75" customHeight="1" x14ac:dyDescent="0.35">
      <c r="A204" s="40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5.75" customHeight="1" x14ac:dyDescent="0.35">
      <c r="A205" s="40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5.75" customHeight="1" x14ac:dyDescent="0.35">
      <c r="A206" s="40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5.75" customHeight="1" x14ac:dyDescent="0.35">
      <c r="A207" s="40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5.75" customHeight="1" x14ac:dyDescent="0.35">
      <c r="A208" s="40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5.75" customHeight="1" x14ac:dyDescent="0.35">
      <c r="A209" s="40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5.75" customHeight="1" x14ac:dyDescent="0.35">
      <c r="A210" s="40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5.75" customHeight="1" x14ac:dyDescent="0.35">
      <c r="A211" s="40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5.75" customHeight="1" x14ac:dyDescent="0.35">
      <c r="A212" s="40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5.75" customHeight="1" x14ac:dyDescent="0.35">
      <c r="A213" s="40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5.75" customHeight="1" x14ac:dyDescent="0.35">
      <c r="A214" s="40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5.75" customHeight="1" x14ac:dyDescent="0.35">
      <c r="A215" s="40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5.75" customHeight="1" x14ac:dyDescent="0.35">
      <c r="A216" s="40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5.75" customHeight="1" x14ac:dyDescent="0.35">
      <c r="A217" s="40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5.75" customHeight="1" x14ac:dyDescent="0.35">
      <c r="A218" s="40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5.75" customHeight="1" x14ac:dyDescent="0.35">
      <c r="A219" s="40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5.75" customHeight="1" x14ac:dyDescent="0.35">
      <c r="A220" s="40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5.75" customHeight="1" x14ac:dyDescent="0.35">
      <c r="A221" s="40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5.75" customHeight="1" x14ac:dyDescent="0.35">
      <c r="A222" s="40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5.75" customHeight="1" x14ac:dyDescent="0.35">
      <c r="A223" s="40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5.75" customHeight="1" x14ac:dyDescent="0.35">
      <c r="A224" s="40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5.75" customHeight="1" x14ac:dyDescent="0.35">
      <c r="A225" s="40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5.75" customHeight="1" x14ac:dyDescent="0.35">
      <c r="A226" s="40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5.75" customHeight="1" x14ac:dyDescent="0.35">
      <c r="A227" s="40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5.75" customHeight="1" x14ac:dyDescent="0.35">
      <c r="A228" s="40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5.75" customHeight="1" x14ac:dyDescent="0.35">
      <c r="A229" s="40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5.75" customHeight="1" x14ac:dyDescent="0.35">
      <c r="A230" s="40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5.75" customHeight="1" x14ac:dyDescent="0.35">
      <c r="A231" s="40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5.75" customHeight="1" x14ac:dyDescent="0.35">
      <c r="A232" s="40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5.75" customHeight="1" x14ac:dyDescent="0.35">
      <c r="A233" s="40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5.75" customHeight="1" x14ac:dyDescent="0.35">
      <c r="A234" s="40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5.75" customHeight="1" x14ac:dyDescent="0.35">
      <c r="A235" s="40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5.75" customHeight="1" x14ac:dyDescent="0.35">
      <c r="A236" s="40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5.75" customHeight="1" x14ac:dyDescent="0.35">
      <c r="A237" s="40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5.75" customHeight="1" x14ac:dyDescent="0.35">
      <c r="A238" s="40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5.75" customHeight="1" x14ac:dyDescent="0.35">
      <c r="A239" s="40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5.75" customHeight="1" x14ac:dyDescent="0.35">
      <c r="A240" s="40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5.75" customHeight="1" x14ac:dyDescent="0.35">
      <c r="A241" s="40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5.75" customHeight="1" x14ac:dyDescent="0.35">
      <c r="A242" s="40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5.75" customHeight="1" x14ac:dyDescent="0.35">
      <c r="A243" s="40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5.75" customHeight="1" x14ac:dyDescent="0.35">
      <c r="A244" s="40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5.75" customHeight="1" x14ac:dyDescent="0.35">
      <c r="A245" s="40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5.75" customHeight="1" x14ac:dyDescent="0.35">
      <c r="A246" s="40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5.75" customHeight="1" x14ac:dyDescent="0.35">
      <c r="A247" s="40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5.75" customHeight="1" x14ac:dyDescent="0.35">
      <c r="A248" s="40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5.75" customHeight="1" x14ac:dyDescent="0.35">
      <c r="A249" s="40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5.75" customHeight="1" x14ac:dyDescent="0.35">
      <c r="A250" s="40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5.75" customHeight="1" x14ac:dyDescent="0.35">
      <c r="A251" s="40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5.75" customHeight="1" x14ac:dyDescent="0.35">
      <c r="A252" s="40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5.75" customHeight="1" x14ac:dyDescent="0.35">
      <c r="A253" s="40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5.75" customHeight="1" x14ac:dyDescent="0.35">
      <c r="A254" s="40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5.75" customHeight="1" x14ac:dyDescent="0.35">
      <c r="A255" s="40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5.75" customHeight="1" x14ac:dyDescent="0.35">
      <c r="A256" s="40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5.75" customHeight="1" x14ac:dyDescent="0.35">
      <c r="A257" s="40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5.75" customHeight="1" x14ac:dyDescent="0.35">
      <c r="A258" s="40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5.75" customHeight="1" x14ac:dyDescent="0.35">
      <c r="A259" s="40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5.75" customHeight="1" x14ac:dyDescent="0.35">
      <c r="A260" s="40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5.75" customHeight="1" x14ac:dyDescent="0.35">
      <c r="A261" s="40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5.75" customHeight="1" x14ac:dyDescent="0.35">
      <c r="A262" s="40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5.75" customHeight="1" x14ac:dyDescent="0.35">
      <c r="A263" s="40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5.75" customHeight="1" x14ac:dyDescent="0.35">
      <c r="A264" s="40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5.75" customHeight="1" x14ac:dyDescent="0.35">
      <c r="A265" s="40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5.75" customHeight="1" x14ac:dyDescent="0.35">
      <c r="A266" s="40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5.75" customHeight="1" x14ac:dyDescent="0.35">
      <c r="A267" s="40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5.75" customHeight="1" x14ac:dyDescent="0.35">
      <c r="A268" s="40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5.75" customHeight="1" x14ac:dyDescent="0.35">
      <c r="A269" s="40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5.75" customHeight="1" x14ac:dyDescent="0.35">
      <c r="A270" s="40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5.75" customHeight="1" x14ac:dyDescent="0.35">
      <c r="A271" s="40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5.75" customHeight="1" x14ac:dyDescent="0.35">
      <c r="A272" s="40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5.75" customHeight="1" x14ac:dyDescent="0.35">
      <c r="A273" s="40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5.75" customHeight="1" x14ac:dyDescent="0.35">
      <c r="A274" s="40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5.75" customHeight="1" x14ac:dyDescent="0.35">
      <c r="A275" s="40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5.75" customHeight="1" x14ac:dyDescent="0.35">
      <c r="A276" s="40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5.75" customHeight="1" x14ac:dyDescent="0.35">
      <c r="A277" s="40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5.75" customHeight="1" x14ac:dyDescent="0.35">
      <c r="A278" s="40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5.75" customHeight="1" x14ac:dyDescent="0.35">
      <c r="A279" s="40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5.75" customHeight="1" x14ac:dyDescent="0.35">
      <c r="A280" s="40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5.75" customHeight="1" x14ac:dyDescent="0.35">
      <c r="A281" s="40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5.75" customHeight="1" x14ac:dyDescent="0.35">
      <c r="A282" s="40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5.75" customHeight="1" x14ac:dyDescent="0.35">
      <c r="A283" s="40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5.75" customHeight="1" x14ac:dyDescent="0.35">
      <c r="A284" s="40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5.75" customHeight="1" x14ac:dyDescent="0.35">
      <c r="A285" s="40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5.75" customHeight="1" x14ac:dyDescent="0.35">
      <c r="A286" s="40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5.75" customHeight="1" x14ac:dyDescent="0.35">
      <c r="A287" s="40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5.75" customHeight="1" x14ac:dyDescent="0.35">
      <c r="A288" s="40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5.75" customHeight="1" x14ac:dyDescent="0.35">
      <c r="A289" s="40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5.75" customHeight="1" x14ac:dyDescent="0.35">
      <c r="A290" s="40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5.75" customHeight="1" x14ac:dyDescent="0.35">
      <c r="A291" s="40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5.75" customHeight="1" x14ac:dyDescent="0.35">
      <c r="A292" s="40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5.75" customHeight="1" x14ac:dyDescent="0.35">
      <c r="A293" s="40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5.75" customHeight="1" x14ac:dyDescent="0.35">
      <c r="A294" s="40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5.75" customHeight="1" x14ac:dyDescent="0.35">
      <c r="A295" s="40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5.75" customHeight="1" x14ac:dyDescent="0.35">
      <c r="A296" s="40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5.75" customHeight="1" x14ac:dyDescent="0.35">
      <c r="A297" s="40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5.75" customHeight="1" x14ac:dyDescent="0.35">
      <c r="A298" s="40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5.75" customHeight="1" x14ac:dyDescent="0.35">
      <c r="A299" s="40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5.75" customHeight="1" x14ac:dyDescent="0.35">
      <c r="A300" s="40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5.75" customHeight="1" x14ac:dyDescent="0.35">
      <c r="A301" s="40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5.75" customHeight="1" x14ac:dyDescent="0.35">
      <c r="A302" s="40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5.75" customHeight="1" x14ac:dyDescent="0.35">
      <c r="A303" s="40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5.75" customHeight="1" x14ac:dyDescent="0.35">
      <c r="A304" s="40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5.75" customHeight="1" x14ac:dyDescent="0.35">
      <c r="A305" s="40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5.75" customHeight="1" x14ac:dyDescent="0.35">
      <c r="A306" s="40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5.75" customHeight="1" x14ac:dyDescent="0.35">
      <c r="A307" s="40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5.75" customHeight="1" x14ac:dyDescent="0.35">
      <c r="A308" s="40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5.75" customHeight="1" x14ac:dyDescent="0.35">
      <c r="A309" s="40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5.75" customHeight="1" x14ac:dyDescent="0.35">
      <c r="A310" s="40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5.75" customHeight="1" x14ac:dyDescent="0.35">
      <c r="A311" s="40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5.75" customHeight="1" x14ac:dyDescent="0.35">
      <c r="A312" s="40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5.75" customHeight="1" x14ac:dyDescent="0.35">
      <c r="A313" s="40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5.75" customHeight="1" x14ac:dyDescent="0.35">
      <c r="A314" s="40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5.75" customHeight="1" x14ac:dyDescent="0.35">
      <c r="A315" s="40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5.75" customHeight="1" x14ac:dyDescent="0.35">
      <c r="A316" s="40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5.75" customHeight="1" x14ac:dyDescent="0.35">
      <c r="A317" s="40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5.75" customHeight="1" x14ac:dyDescent="0.35">
      <c r="A318" s="40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5.75" customHeight="1" x14ac:dyDescent="0.35">
      <c r="A319" s="40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5.75" customHeight="1" x14ac:dyDescent="0.35">
      <c r="A320" s="40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5.75" customHeight="1" x14ac:dyDescent="0.35">
      <c r="A321" s="40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5.75" customHeight="1" x14ac:dyDescent="0.35">
      <c r="A322" s="40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5.75" customHeight="1" x14ac:dyDescent="0.35">
      <c r="A323" s="40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5.75" customHeight="1" x14ac:dyDescent="0.35">
      <c r="A324" s="40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5.75" customHeight="1" x14ac:dyDescent="0.35">
      <c r="A325" s="40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5.75" customHeight="1" x14ac:dyDescent="0.35">
      <c r="A326" s="40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5.75" customHeight="1" x14ac:dyDescent="0.35">
      <c r="A327" s="40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5.75" customHeight="1" x14ac:dyDescent="0.35">
      <c r="A328" s="40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5.75" customHeight="1" x14ac:dyDescent="0.35">
      <c r="A329" s="40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5.75" customHeight="1" x14ac:dyDescent="0.35">
      <c r="A330" s="40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5.75" customHeight="1" x14ac:dyDescent="0.35">
      <c r="A331" s="40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5.75" customHeight="1" x14ac:dyDescent="0.35">
      <c r="A332" s="40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5.75" customHeight="1" x14ac:dyDescent="0.35">
      <c r="A333" s="40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5.75" customHeight="1" x14ac:dyDescent="0.35">
      <c r="A334" s="40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5.75" customHeight="1" x14ac:dyDescent="0.35">
      <c r="A335" s="40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5.75" customHeight="1" x14ac:dyDescent="0.35">
      <c r="A336" s="40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5.75" customHeight="1" x14ac:dyDescent="0.35">
      <c r="A337" s="40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5.75" customHeight="1" x14ac:dyDescent="0.35">
      <c r="A338" s="40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5.75" customHeight="1" x14ac:dyDescent="0.35">
      <c r="A339" s="40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5.75" customHeight="1" x14ac:dyDescent="0.35">
      <c r="A340" s="40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5.75" customHeight="1" x14ac:dyDescent="0.35">
      <c r="A341" s="40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5.75" customHeight="1" x14ac:dyDescent="0.35">
      <c r="A342" s="40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5.75" customHeight="1" x14ac:dyDescent="0.35">
      <c r="A343" s="40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5.75" customHeight="1" x14ac:dyDescent="0.35">
      <c r="A344" s="40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5.75" customHeight="1" x14ac:dyDescent="0.35">
      <c r="A345" s="40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5.75" customHeight="1" x14ac:dyDescent="0.35">
      <c r="A346" s="40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5.75" customHeight="1" x14ac:dyDescent="0.35">
      <c r="A347" s="40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5.75" customHeight="1" x14ac:dyDescent="0.35">
      <c r="A348" s="40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5.75" customHeight="1" x14ac:dyDescent="0.35">
      <c r="A349" s="40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5.75" customHeight="1" x14ac:dyDescent="0.35">
      <c r="A350" s="40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5.75" customHeight="1" x14ac:dyDescent="0.35">
      <c r="A351" s="40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5.75" customHeight="1" x14ac:dyDescent="0.35">
      <c r="A352" s="40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5.75" customHeight="1" x14ac:dyDescent="0.35">
      <c r="A353" s="40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5.75" customHeight="1" x14ac:dyDescent="0.35">
      <c r="A354" s="40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5.75" customHeight="1" x14ac:dyDescent="0.35">
      <c r="A355" s="40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5.75" customHeight="1" x14ac:dyDescent="0.35">
      <c r="A356" s="40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5.75" customHeight="1" x14ac:dyDescent="0.35">
      <c r="A357" s="40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5.75" customHeight="1" x14ac:dyDescent="0.35">
      <c r="A358" s="40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5.75" customHeight="1" x14ac:dyDescent="0.35">
      <c r="A359" s="40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5.75" customHeight="1" x14ac:dyDescent="0.35">
      <c r="A360" s="40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5.75" customHeight="1" x14ac:dyDescent="0.35">
      <c r="A361" s="40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5.75" customHeight="1" x14ac:dyDescent="0.35">
      <c r="A362" s="40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5.75" customHeight="1" x14ac:dyDescent="0.35">
      <c r="A363" s="40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5.75" customHeight="1" x14ac:dyDescent="0.35">
      <c r="A364" s="40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5.75" customHeight="1" x14ac:dyDescent="0.35">
      <c r="A365" s="40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5.75" customHeight="1" x14ac:dyDescent="0.35">
      <c r="A366" s="40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5.75" customHeight="1" x14ac:dyDescent="0.35">
      <c r="A367" s="40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5.75" customHeight="1" x14ac:dyDescent="0.35">
      <c r="A368" s="40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5.75" customHeight="1" x14ac:dyDescent="0.35">
      <c r="A369" s="40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5.75" customHeight="1" x14ac:dyDescent="0.35">
      <c r="A370" s="40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5.75" customHeight="1" x14ac:dyDescent="0.35">
      <c r="A371" s="40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5.75" customHeight="1" x14ac:dyDescent="0.35">
      <c r="A372" s="40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5.75" customHeight="1" x14ac:dyDescent="0.35">
      <c r="A373" s="40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5.75" customHeight="1" x14ac:dyDescent="0.35">
      <c r="A374" s="40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5.75" customHeight="1" x14ac:dyDescent="0.35">
      <c r="A375" s="40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5.75" customHeight="1" x14ac:dyDescent="0.35">
      <c r="A376" s="40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5.75" customHeight="1" x14ac:dyDescent="0.35">
      <c r="A377" s="40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5.75" customHeight="1" x14ac:dyDescent="0.35">
      <c r="A378" s="40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5.75" customHeight="1" x14ac:dyDescent="0.35">
      <c r="A379" s="40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5.75" customHeight="1" x14ac:dyDescent="0.35">
      <c r="A380" s="40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5.75" customHeight="1" x14ac:dyDescent="0.35">
      <c r="A381" s="40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5.75" customHeight="1" x14ac:dyDescent="0.35">
      <c r="A382" s="40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5.75" customHeight="1" x14ac:dyDescent="0.35">
      <c r="A383" s="40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5.75" customHeight="1" x14ac:dyDescent="0.35">
      <c r="A384" s="40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5.75" customHeight="1" x14ac:dyDescent="0.35">
      <c r="A385" s="40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5.75" customHeight="1" x14ac:dyDescent="0.35">
      <c r="A386" s="40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5.75" customHeight="1" x14ac:dyDescent="0.35">
      <c r="A387" s="40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5.75" customHeight="1" x14ac:dyDescent="0.35">
      <c r="A388" s="40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5.75" customHeight="1" x14ac:dyDescent="0.35">
      <c r="A389" s="40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5.75" customHeight="1" x14ac:dyDescent="0.35">
      <c r="A390" s="40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5.75" customHeight="1" x14ac:dyDescent="0.35">
      <c r="A391" s="40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5.75" customHeight="1" x14ac:dyDescent="0.35">
      <c r="A392" s="40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5.75" customHeight="1" x14ac:dyDescent="0.35">
      <c r="A393" s="40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5.75" customHeight="1" x14ac:dyDescent="0.35">
      <c r="A394" s="40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5.75" customHeight="1" x14ac:dyDescent="0.35">
      <c r="A395" s="40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5.75" customHeight="1" x14ac:dyDescent="0.35">
      <c r="A396" s="40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5.75" customHeight="1" x14ac:dyDescent="0.35">
      <c r="A397" s="40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5.75" customHeight="1" x14ac:dyDescent="0.35">
      <c r="A398" s="40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5.75" customHeight="1" x14ac:dyDescent="0.35">
      <c r="A399" s="40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5.75" customHeight="1" x14ac:dyDescent="0.35">
      <c r="A400" s="40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5.75" customHeight="1" x14ac:dyDescent="0.35">
      <c r="A401" s="40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5.75" customHeight="1" x14ac:dyDescent="0.35">
      <c r="A402" s="40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5.75" customHeight="1" x14ac:dyDescent="0.35">
      <c r="A403" s="40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5.75" customHeight="1" x14ac:dyDescent="0.35">
      <c r="A404" s="40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5.75" customHeight="1" x14ac:dyDescent="0.35">
      <c r="A405" s="40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5.75" customHeight="1" x14ac:dyDescent="0.35">
      <c r="A406" s="40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5.75" customHeight="1" x14ac:dyDescent="0.35">
      <c r="A407" s="40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5.75" customHeight="1" x14ac:dyDescent="0.35">
      <c r="A408" s="40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5.75" customHeight="1" x14ac:dyDescent="0.35">
      <c r="A409" s="40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5.75" customHeight="1" x14ac:dyDescent="0.35">
      <c r="A410" s="40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5.75" customHeight="1" x14ac:dyDescent="0.35">
      <c r="A411" s="40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5.75" customHeight="1" x14ac:dyDescent="0.35">
      <c r="A412" s="40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5.75" customHeight="1" x14ac:dyDescent="0.35">
      <c r="A413" s="40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5.75" customHeight="1" x14ac:dyDescent="0.35">
      <c r="A414" s="40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5.75" customHeight="1" x14ac:dyDescent="0.35">
      <c r="A415" s="40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5.75" customHeight="1" x14ac:dyDescent="0.35">
      <c r="A416" s="40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5.75" customHeight="1" x14ac:dyDescent="0.35">
      <c r="A417" s="40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5.75" customHeight="1" x14ac:dyDescent="0.35">
      <c r="A418" s="40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5.75" customHeight="1" x14ac:dyDescent="0.35">
      <c r="A419" s="40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5.75" customHeight="1" x14ac:dyDescent="0.35">
      <c r="A420" s="40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5.75" customHeight="1" x14ac:dyDescent="0.35">
      <c r="A421" s="40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5.75" customHeight="1" x14ac:dyDescent="0.35">
      <c r="A422" s="40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5.75" customHeight="1" x14ac:dyDescent="0.35">
      <c r="A423" s="40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5.75" customHeight="1" x14ac:dyDescent="0.35">
      <c r="A424" s="40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5.75" customHeight="1" x14ac:dyDescent="0.35">
      <c r="A425" s="40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5.75" customHeight="1" x14ac:dyDescent="0.35">
      <c r="A426" s="40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5.75" customHeight="1" x14ac:dyDescent="0.35">
      <c r="A427" s="40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5.75" customHeight="1" x14ac:dyDescent="0.35">
      <c r="A428" s="40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5.75" customHeight="1" x14ac:dyDescent="0.35">
      <c r="A429" s="40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5.75" customHeight="1" x14ac:dyDescent="0.35">
      <c r="A430" s="40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5.75" customHeight="1" x14ac:dyDescent="0.35">
      <c r="A431" s="40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5.75" customHeight="1" x14ac:dyDescent="0.35">
      <c r="A432" s="40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5.75" customHeight="1" x14ac:dyDescent="0.35">
      <c r="A433" s="40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5.75" customHeight="1" x14ac:dyDescent="0.35">
      <c r="A434" s="40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5.75" customHeight="1" x14ac:dyDescent="0.35">
      <c r="A435" s="40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5.75" customHeight="1" x14ac:dyDescent="0.35">
      <c r="A436" s="40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5.75" customHeight="1" x14ac:dyDescent="0.35">
      <c r="A437" s="40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5.75" customHeight="1" x14ac:dyDescent="0.35">
      <c r="A438" s="40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5.75" customHeight="1" x14ac:dyDescent="0.35">
      <c r="A439" s="40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5.75" customHeight="1" x14ac:dyDescent="0.35">
      <c r="A440" s="40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5.75" customHeight="1" x14ac:dyDescent="0.35">
      <c r="A441" s="40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5.75" customHeight="1" x14ac:dyDescent="0.35">
      <c r="A442" s="40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5.75" customHeight="1" x14ac:dyDescent="0.35">
      <c r="A443" s="40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5.75" customHeight="1" x14ac:dyDescent="0.35">
      <c r="A444" s="40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5.75" customHeight="1" x14ac:dyDescent="0.35">
      <c r="A445" s="40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5.75" customHeight="1" x14ac:dyDescent="0.35">
      <c r="A446" s="40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5.75" customHeight="1" x14ac:dyDescent="0.35">
      <c r="A447" s="40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5.75" customHeight="1" x14ac:dyDescent="0.35">
      <c r="A448" s="40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5.75" customHeight="1" x14ac:dyDescent="0.35">
      <c r="A449" s="40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5.75" customHeight="1" x14ac:dyDescent="0.35">
      <c r="A450" s="40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5.75" customHeight="1" x14ac:dyDescent="0.35">
      <c r="A451" s="40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5.75" customHeight="1" x14ac:dyDescent="0.35">
      <c r="A452" s="40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5.75" customHeight="1" x14ac:dyDescent="0.35">
      <c r="A453" s="40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5.75" customHeight="1" x14ac:dyDescent="0.35">
      <c r="A454" s="40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5.75" customHeight="1" x14ac:dyDescent="0.35">
      <c r="A455" s="40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5.75" customHeight="1" x14ac:dyDescent="0.35">
      <c r="A456" s="40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5.75" customHeight="1" x14ac:dyDescent="0.35">
      <c r="A457" s="40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5.75" customHeight="1" x14ac:dyDescent="0.35">
      <c r="A458" s="40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5.75" customHeight="1" x14ac:dyDescent="0.35">
      <c r="A459" s="40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5.75" customHeight="1" x14ac:dyDescent="0.35">
      <c r="A460" s="40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5.75" customHeight="1" x14ac:dyDescent="0.35">
      <c r="A461" s="40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5.75" customHeight="1" x14ac:dyDescent="0.35">
      <c r="A462" s="40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5.75" customHeight="1" x14ac:dyDescent="0.35">
      <c r="A463" s="40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5.75" customHeight="1" x14ac:dyDescent="0.35">
      <c r="A464" s="40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5.75" customHeight="1" x14ac:dyDescent="0.35">
      <c r="A465" s="40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5.75" customHeight="1" x14ac:dyDescent="0.35">
      <c r="A466" s="40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5.75" customHeight="1" x14ac:dyDescent="0.35">
      <c r="A467" s="40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5.75" customHeight="1" x14ac:dyDescent="0.35">
      <c r="A468" s="40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5.75" customHeight="1" x14ac:dyDescent="0.35">
      <c r="A469" s="40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5.75" customHeight="1" x14ac:dyDescent="0.35">
      <c r="A470" s="40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5.75" customHeight="1" x14ac:dyDescent="0.35">
      <c r="A471" s="40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5.75" customHeight="1" x14ac:dyDescent="0.35">
      <c r="A472" s="40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5.75" customHeight="1" x14ac:dyDescent="0.35">
      <c r="A473" s="40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5.75" customHeight="1" x14ac:dyDescent="0.35">
      <c r="A474" s="40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5.75" customHeight="1" x14ac:dyDescent="0.35">
      <c r="A475" s="40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5.75" customHeight="1" x14ac:dyDescent="0.35">
      <c r="A476" s="40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5.75" customHeight="1" x14ac:dyDescent="0.35">
      <c r="A477" s="40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5.75" customHeight="1" x14ac:dyDescent="0.35">
      <c r="A478" s="40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5.75" customHeight="1" x14ac:dyDescent="0.35">
      <c r="A479" s="40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5.75" customHeight="1" x14ac:dyDescent="0.35">
      <c r="A480" s="40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5.75" customHeight="1" x14ac:dyDescent="0.35">
      <c r="A481" s="40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5.75" customHeight="1" x14ac:dyDescent="0.35">
      <c r="A482" s="40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5.75" customHeight="1" x14ac:dyDescent="0.35">
      <c r="A483" s="40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5.75" customHeight="1" x14ac:dyDescent="0.35">
      <c r="A484" s="40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5.75" customHeight="1" x14ac:dyDescent="0.35">
      <c r="A485" s="40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5.75" customHeight="1" x14ac:dyDescent="0.35">
      <c r="A486" s="40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5.75" customHeight="1" x14ac:dyDescent="0.35">
      <c r="A487" s="40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5.75" customHeight="1" x14ac:dyDescent="0.35">
      <c r="A488" s="40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5.75" customHeight="1" x14ac:dyDescent="0.35">
      <c r="A489" s="40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5.75" customHeight="1" x14ac:dyDescent="0.35">
      <c r="A490" s="40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5.75" customHeight="1" x14ac:dyDescent="0.35">
      <c r="A491" s="40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5.75" customHeight="1" x14ac:dyDescent="0.35">
      <c r="A492" s="40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5.75" customHeight="1" x14ac:dyDescent="0.35">
      <c r="A493" s="40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5.75" customHeight="1" x14ac:dyDescent="0.35">
      <c r="A494" s="40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5.75" customHeight="1" x14ac:dyDescent="0.35">
      <c r="A495" s="40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5.75" customHeight="1" x14ac:dyDescent="0.35">
      <c r="A496" s="40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5.75" customHeight="1" x14ac:dyDescent="0.35">
      <c r="A497" s="40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5.75" customHeight="1" x14ac:dyDescent="0.35">
      <c r="A498" s="40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5.75" customHeight="1" x14ac:dyDescent="0.35">
      <c r="A499" s="40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5.75" customHeight="1" x14ac:dyDescent="0.35">
      <c r="A500" s="40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5.75" customHeight="1" x14ac:dyDescent="0.35">
      <c r="A501" s="40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5.75" customHeight="1" x14ac:dyDescent="0.35">
      <c r="A502" s="40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5.75" customHeight="1" x14ac:dyDescent="0.35">
      <c r="A503" s="40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5.75" customHeight="1" x14ac:dyDescent="0.35">
      <c r="A504" s="40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5.75" customHeight="1" x14ac:dyDescent="0.35">
      <c r="A505" s="40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5.75" customHeight="1" x14ac:dyDescent="0.35">
      <c r="A506" s="40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5.75" customHeight="1" x14ac:dyDescent="0.35">
      <c r="A507" s="40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5.75" customHeight="1" x14ac:dyDescent="0.35">
      <c r="A508" s="40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5.75" customHeight="1" x14ac:dyDescent="0.35">
      <c r="A509" s="40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5.75" customHeight="1" x14ac:dyDescent="0.35">
      <c r="A510" s="40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5.75" customHeight="1" x14ac:dyDescent="0.35">
      <c r="A511" s="40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5.75" customHeight="1" x14ac:dyDescent="0.35">
      <c r="A512" s="40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5.75" customHeight="1" x14ac:dyDescent="0.35">
      <c r="A513" s="40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5.75" customHeight="1" x14ac:dyDescent="0.35">
      <c r="A514" s="40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5.75" customHeight="1" x14ac:dyDescent="0.35">
      <c r="A515" s="40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5.75" customHeight="1" x14ac:dyDescent="0.35">
      <c r="A516" s="40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5.75" customHeight="1" x14ac:dyDescent="0.35">
      <c r="A517" s="40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5.75" customHeight="1" x14ac:dyDescent="0.35">
      <c r="A518" s="40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5.75" customHeight="1" x14ac:dyDescent="0.35">
      <c r="A519" s="40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5.75" customHeight="1" x14ac:dyDescent="0.35">
      <c r="A520" s="40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5.75" customHeight="1" x14ac:dyDescent="0.35">
      <c r="A521" s="40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5.75" customHeight="1" x14ac:dyDescent="0.35">
      <c r="A522" s="40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5.75" customHeight="1" x14ac:dyDescent="0.35">
      <c r="A523" s="40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5.75" customHeight="1" x14ac:dyDescent="0.35">
      <c r="A524" s="40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5.75" customHeight="1" x14ac:dyDescent="0.35">
      <c r="A525" s="40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5.75" customHeight="1" x14ac:dyDescent="0.35">
      <c r="A526" s="40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5.75" customHeight="1" x14ac:dyDescent="0.35">
      <c r="A527" s="40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5.75" customHeight="1" x14ac:dyDescent="0.35">
      <c r="A528" s="40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5.75" customHeight="1" x14ac:dyDescent="0.35">
      <c r="A529" s="40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5.75" customHeight="1" x14ac:dyDescent="0.35">
      <c r="A530" s="40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5.75" customHeight="1" x14ac:dyDescent="0.35">
      <c r="A531" s="40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5.75" customHeight="1" x14ac:dyDescent="0.35">
      <c r="A532" s="40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5.75" customHeight="1" x14ac:dyDescent="0.35">
      <c r="A533" s="40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5.75" customHeight="1" x14ac:dyDescent="0.35">
      <c r="A534" s="40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5.75" customHeight="1" x14ac:dyDescent="0.35">
      <c r="A535" s="40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5.75" customHeight="1" x14ac:dyDescent="0.35">
      <c r="A536" s="40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5.75" customHeight="1" x14ac:dyDescent="0.35">
      <c r="A537" s="40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5.75" customHeight="1" x14ac:dyDescent="0.35">
      <c r="A538" s="40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5.75" customHeight="1" x14ac:dyDescent="0.35">
      <c r="A539" s="40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5.75" customHeight="1" x14ac:dyDescent="0.35">
      <c r="A540" s="40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5.75" customHeight="1" x14ac:dyDescent="0.35">
      <c r="A541" s="40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5.75" customHeight="1" x14ac:dyDescent="0.35">
      <c r="A542" s="40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5.75" customHeight="1" x14ac:dyDescent="0.35">
      <c r="A543" s="40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5.75" customHeight="1" x14ac:dyDescent="0.35">
      <c r="A544" s="40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5.75" customHeight="1" x14ac:dyDescent="0.35">
      <c r="A545" s="40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5.75" customHeight="1" x14ac:dyDescent="0.35">
      <c r="A546" s="40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5.75" customHeight="1" x14ac:dyDescent="0.35">
      <c r="A547" s="40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5.75" customHeight="1" x14ac:dyDescent="0.35">
      <c r="A548" s="40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5.75" customHeight="1" x14ac:dyDescent="0.35">
      <c r="A549" s="40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5.75" customHeight="1" x14ac:dyDescent="0.35">
      <c r="A550" s="40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5.75" customHeight="1" x14ac:dyDescent="0.35">
      <c r="A551" s="40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5.75" customHeight="1" x14ac:dyDescent="0.35">
      <c r="A552" s="40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5.75" customHeight="1" x14ac:dyDescent="0.35">
      <c r="A553" s="40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5.75" customHeight="1" x14ac:dyDescent="0.35">
      <c r="A554" s="40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5.75" customHeight="1" x14ac:dyDescent="0.35">
      <c r="A555" s="40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5.75" customHeight="1" x14ac:dyDescent="0.35">
      <c r="A556" s="40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5.75" customHeight="1" x14ac:dyDescent="0.35">
      <c r="A557" s="40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5.75" customHeight="1" x14ac:dyDescent="0.35">
      <c r="A558" s="40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5.75" customHeight="1" x14ac:dyDescent="0.35">
      <c r="A559" s="40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5.75" customHeight="1" x14ac:dyDescent="0.35">
      <c r="A560" s="40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5.75" customHeight="1" x14ac:dyDescent="0.35">
      <c r="A561" s="40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5.75" customHeight="1" x14ac:dyDescent="0.35">
      <c r="A562" s="40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5.75" customHeight="1" x14ac:dyDescent="0.35">
      <c r="A563" s="40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5.75" customHeight="1" x14ac:dyDescent="0.35">
      <c r="A564" s="40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5.75" customHeight="1" x14ac:dyDescent="0.35">
      <c r="A565" s="40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5.75" customHeight="1" x14ac:dyDescent="0.35">
      <c r="A566" s="40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5.75" customHeight="1" x14ac:dyDescent="0.35">
      <c r="A567" s="40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5.75" customHeight="1" x14ac:dyDescent="0.35">
      <c r="A568" s="40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5.75" customHeight="1" x14ac:dyDescent="0.35">
      <c r="A569" s="40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5.75" customHeight="1" x14ac:dyDescent="0.35">
      <c r="A570" s="40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5.75" customHeight="1" x14ac:dyDescent="0.35">
      <c r="A571" s="40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5.75" customHeight="1" x14ac:dyDescent="0.35">
      <c r="A572" s="40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5.75" customHeight="1" x14ac:dyDescent="0.35">
      <c r="A573" s="40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5.75" customHeight="1" x14ac:dyDescent="0.35">
      <c r="A574" s="40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5.75" customHeight="1" x14ac:dyDescent="0.35">
      <c r="A575" s="40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5.75" customHeight="1" x14ac:dyDescent="0.35">
      <c r="A576" s="40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5.75" customHeight="1" x14ac:dyDescent="0.35">
      <c r="A577" s="40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5.75" customHeight="1" x14ac:dyDescent="0.35">
      <c r="A578" s="40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5.75" customHeight="1" x14ac:dyDescent="0.35">
      <c r="A579" s="40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5.75" customHeight="1" x14ac:dyDescent="0.35">
      <c r="A580" s="40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5.75" customHeight="1" x14ac:dyDescent="0.35">
      <c r="A581" s="40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5.75" customHeight="1" x14ac:dyDescent="0.35">
      <c r="A582" s="40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5.75" customHeight="1" x14ac:dyDescent="0.35">
      <c r="A583" s="40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5.75" customHeight="1" x14ac:dyDescent="0.35">
      <c r="A584" s="40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5.75" customHeight="1" x14ac:dyDescent="0.35">
      <c r="A585" s="40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5.75" customHeight="1" x14ac:dyDescent="0.35">
      <c r="A586" s="40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5.75" customHeight="1" x14ac:dyDescent="0.35">
      <c r="A587" s="40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5.75" customHeight="1" x14ac:dyDescent="0.35">
      <c r="A588" s="40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5.75" customHeight="1" x14ac:dyDescent="0.35">
      <c r="A589" s="40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5.75" customHeight="1" x14ac:dyDescent="0.35">
      <c r="A590" s="40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5.75" customHeight="1" x14ac:dyDescent="0.35">
      <c r="A591" s="40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5.75" customHeight="1" x14ac:dyDescent="0.35">
      <c r="A592" s="40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5.75" customHeight="1" x14ac:dyDescent="0.35">
      <c r="A593" s="40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5.75" customHeight="1" x14ac:dyDescent="0.35">
      <c r="A594" s="40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5.75" customHeight="1" x14ac:dyDescent="0.35">
      <c r="A595" s="40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5.75" customHeight="1" x14ac:dyDescent="0.35">
      <c r="A596" s="40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5.75" customHeight="1" x14ac:dyDescent="0.35">
      <c r="A597" s="40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5.75" customHeight="1" x14ac:dyDescent="0.35">
      <c r="A598" s="40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5.75" customHeight="1" x14ac:dyDescent="0.35">
      <c r="A599" s="40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5.75" customHeight="1" x14ac:dyDescent="0.35">
      <c r="A600" s="40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5.75" customHeight="1" x14ac:dyDescent="0.35">
      <c r="A601" s="40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5.75" customHeight="1" x14ac:dyDescent="0.35">
      <c r="A602" s="40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5.75" customHeight="1" x14ac:dyDescent="0.35">
      <c r="A603" s="40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5.75" customHeight="1" x14ac:dyDescent="0.35">
      <c r="A604" s="40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5.75" customHeight="1" x14ac:dyDescent="0.35">
      <c r="A605" s="40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5.75" customHeight="1" x14ac:dyDescent="0.35">
      <c r="A606" s="40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5.75" customHeight="1" x14ac:dyDescent="0.35">
      <c r="A607" s="40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5.75" customHeight="1" x14ac:dyDescent="0.35">
      <c r="A608" s="40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5.75" customHeight="1" x14ac:dyDescent="0.35">
      <c r="A609" s="40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5.75" customHeight="1" x14ac:dyDescent="0.35">
      <c r="A610" s="40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5.75" customHeight="1" x14ac:dyDescent="0.35">
      <c r="A611" s="40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5.75" customHeight="1" x14ac:dyDescent="0.35">
      <c r="A612" s="40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5.75" customHeight="1" x14ac:dyDescent="0.35">
      <c r="A613" s="40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5.75" customHeight="1" x14ac:dyDescent="0.35">
      <c r="A614" s="40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5.75" customHeight="1" x14ac:dyDescent="0.35">
      <c r="A615" s="40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5.75" customHeight="1" x14ac:dyDescent="0.35">
      <c r="A616" s="40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5.75" customHeight="1" x14ac:dyDescent="0.35">
      <c r="A617" s="40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5.75" customHeight="1" x14ac:dyDescent="0.35">
      <c r="A618" s="40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5.75" customHeight="1" x14ac:dyDescent="0.35">
      <c r="A619" s="40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5.75" customHeight="1" x14ac:dyDescent="0.35">
      <c r="A620" s="40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5.75" customHeight="1" x14ac:dyDescent="0.35">
      <c r="A621" s="40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5.75" customHeight="1" x14ac:dyDescent="0.35">
      <c r="A622" s="40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5.75" customHeight="1" x14ac:dyDescent="0.35">
      <c r="A623" s="40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5.75" customHeight="1" x14ac:dyDescent="0.35">
      <c r="A624" s="40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5.75" customHeight="1" x14ac:dyDescent="0.35">
      <c r="A625" s="40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5.75" customHeight="1" x14ac:dyDescent="0.35">
      <c r="A626" s="40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5.75" customHeight="1" x14ac:dyDescent="0.35">
      <c r="A627" s="40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5.75" customHeight="1" x14ac:dyDescent="0.35">
      <c r="A628" s="40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5.75" customHeight="1" x14ac:dyDescent="0.35">
      <c r="A629" s="40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5.75" customHeight="1" x14ac:dyDescent="0.35">
      <c r="A630" s="40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5.75" customHeight="1" x14ac:dyDescent="0.35">
      <c r="A631" s="40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5.75" customHeight="1" x14ac:dyDescent="0.35">
      <c r="A632" s="40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5.75" customHeight="1" x14ac:dyDescent="0.35">
      <c r="A633" s="40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5.75" customHeight="1" x14ac:dyDescent="0.35">
      <c r="A634" s="40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5.75" customHeight="1" x14ac:dyDescent="0.35">
      <c r="A635" s="40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5.75" customHeight="1" x14ac:dyDescent="0.35">
      <c r="A636" s="40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5.75" customHeight="1" x14ac:dyDescent="0.35">
      <c r="A637" s="40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5.75" customHeight="1" x14ac:dyDescent="0.35">
      <c r="A638" s="40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5.75" customHeight="1" x14ac:dyDescent="0.35">
      <c r="A639" s="40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5.75" customHeight="1" x14ac:dyDescent="0.35">
      <c r="A640" s="40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5.75" customHeight="1" x14ac:dyDescent="0.35">
      <c r="A641" s="40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5.75" customHeight="1" x14ac:dyDescent="0.35">
      <c r="A642" s="40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5.75" customHeight="1" x14ac:dyDescent="0.35">
      <c r="A643" s="40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5.75" customHeight="1" x14ac:dyDescent="0.35">
      <c r="A644" s="40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5.75" customHeight="1" x14ac:dyDescent="0.35">
      <c r="A645" s="40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5.75" customHeight="1" x14ac:dyDescent="0.35">
      <c r="A646" s="40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5.75" customHeight="1" x14ac:dyDescent="0.35">
      <c r="A647" s="40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5.75" customHeight="1" x14ac:dyDescent="0.35">
      <c r="A648" s="40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5.75" customHeight="1" x14ac:dyDescent="0.35">
      <c r="A649" s="40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5.75" customHeight="1" x14ac:dyDescent="0.35">
      <c r="A650" s="40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5.75" customHeight="1" x14ac:dyDescent="0.35">
      <c r="A651" s="40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5.75" customHeight="1" x14ac:dyDescent="0.35">
      <c r="A652" s="40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5.75" customHeight="1" x14ac:dyDescent="0.35">
      <c r="A653" s="40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5.75" customHeight="1" x14ac:dyDescent="0.35">
      <c r="A654" s="40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5.75" customHeight="1" x14ac:dyDescent="0.35">
      <c r="A655" s="40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5.75" customHeight="1" x14ac:dyDescent="0.35">
      <c r="A656" s="40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5.75" customHeight="1" x14ac:dyDescent="0.35">
      <c r="A657" s="40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5.75" customHeight="1" x14ac:dyDescent="0.35">
      <c r="A658" s="40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5.75" customHeight="1" x14ac:dyDescent="0.35">
      <c r="A659" s="40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5.75" customHeight="1" x14ac:dyDescent="0.35">
      <c r="A660" s="40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5.75" customHeight="1" x14ac:dyDescent="0.35">
      <c r="A661" s="40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5.75" customHeight="1" x14ac:dyDescent="0.35">
      <c r="A662" s="40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5.75" customHeight="1" x14ac:dyDescent="0.35">
      <c r="A663" s="40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5.75" customHeight="1" x14ac:dyDescent="0.35">
      <c r="A664" s="40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5.75" customHeight="1" x14ac:dyDescent="0.35">
      <c r="A665" s="40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5.75" customHeight="1" x14ac:dyDescent="0.35">
      <c r="A666" s="40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5.75" customHeight="1" x14ac:dyDescent="0.35">
      <c r="A667" s="40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5.75" customHeight="1" x14ac:dyDescent="0.35">
      <c r="A668" s="40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5.75" customHeight="1" x14ac:dyDescent="0.35">
      <c r="A669" s="40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5.75" customHeight="1" x14ac:dyDescent="0.35">
      <c r="A670" s="40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5.75" customHeight="1" x14ac:dyDescent="0.35">
      <c r="A671" s="40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5.75" customHeight="1" x14ac:dyDescent="0.35">
      <c r="A672" s="40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5.75" customHeight="1" x14ac:dyDescent="0.35">
      <c r="A673" s="40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5.75" customHeight="1" x14ac:dyDescent="0.35">
      <c r="A674" s="40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5.75" customHeight="1" x14ac:dyDescent="0.35">
      <c r="A675" s="40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5.75" customHeight="1" x14ac:dyDescent="0.35">
      <c r="A676" s="40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5.75" customHeight="1" x14ac:dyDescent="0.35">
      <c r="A677" s="40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5.75" customHeight="1" x14ac:dyDescent="0.35">
      <c r="A678" s="40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5.75" customHeight="1" x14ac:dyDescent="0.35">
      <c r="A679" s="40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5.75" customHeight="1" x14ac:dyDescent="0.35">
      <c r="A680" s="40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5.75" customHeight="1" x14ac:dyDescent="0.35">
      <c r="A681" s="40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5.75" customHeight="1" x14ac:dyDescent="0.35">
      <c r="A682" s="40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5.75" customHeight="1" x14ac:dyDescent="0.35">
      <c r="A683" s="40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5.75" customHeight="1" x14ac:dyDescent="0.35">
      <c r="A684" s="40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5.75" customHeight="1" x14ac:dyDescent="0.35">
      <c r="A685" s="40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5.75" customHeight="1" x14ac:dyDescent="0.35">
      <c r="A686" s="40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5.75" customHeight="1" x14ac:dyDescent="0.35">
      <c r="A687" s="40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5.75" customHeight="1" x14ac:dyDescent="0.35">
      <c r="A688" s="40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5.75" customHeight="1" x14ac:dyDescent="0.35">
      <c r="A689" s="40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5.75" customHeight="1" x14ac:dyDescent="0.35">
      <c r="A690" s="40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5.75" customHeight="1" x14ac:dyDescent="0.35">
      <c r="A691" s="40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5.75" customHeight="1" x14ac:dyDescent="0.35">
      <c r="A692" s="40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5.75" customHeight="1" x14ac:dyDescent="0.35">
      <c r="A693" s="40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5.75" customHeight="1" x14ac:dyDescent="0.35">
      <c r="A694" s="40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5.75" customHeight="1" x14ac:dyDescent="0.35">
      <c r="A695" s="40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5.75" customHeight="1" x14ac:dyDescent="0.35">
      <c r="A696" s="40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5.75" customHeight="1" x14ac:dyDescent="0.35">
      <c r="A697" s="40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5.75" customHeight="1" x14ac:dyDescent="0.35">
      <c r="A698" s="40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5.75" customHeight="1" x14ac:dyDescent="0.35">
      <c r="A699" s="40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5.75" customHeight="1" x14ac:dyDescent="0.35">
      <c r="A700" s="40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5.75" customHeight="1" x14ac:dyDescent="0.35">
      <c r="A701" s="40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5.75" customHeight="1" x14ac:dyDescent="0.35">
      <c r="A702" s="40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5.75" customHeight="1" x14ac:dyDescent="0.35">
      <c r="A703" s="40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5.75" customHeight="1" x14ac:dyDescent="0.35">
      <c r="A704" s="40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5.75" customHeight="1" x14ac:dyDescent="0.35">
      <c r="A705" s="40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5.75" customHeight="1" x14ac:dyDescent="0.35">
      <c r="A706" s="40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5.75" customHeight="1" x14ac:dyDescent="0.35">
      <c r="A707" s="40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5.75" customHeight="1" x14ac:dyDescent="0.35">
      <c r="A708" s="40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5.75" customHeight="1" x14ac:dyDescent="0.35">
      <c r="A709" s="40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5.75" customHeight="1" x14ac:dyDescent="0.35">
      <c r="A710" s="40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5.75" customHeight="1" x14ac:dyDescent="0.35">
      <c r="A711" s="40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5.75" customHeight="1" x14ac:dyDescent="0.35">
      <c r="A712" s="40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5.75" customHeight="1" x14ac:dyDescent="0.35">
      <c r="A713" s="40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5.75" customHeight="1" x14ac:dyDescent="0.35">
      <c r="A714" s="40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5.75" customHeight="1" x14ac:dyDescent="0.35">
      <c r="A715" s="40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5.75" customHeight="1" x14ac:dyDescent="0.35">
      <c r="A716" s="40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5.75" customHeight="1" x14ac:dyDescent="0.35">
      <c r="A717" s="40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5.75" customHeight="1" x14ac:dyDescent="0.35">
      <c r="A718" s="40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5.75" customHeight="1" x14ac:dyDescent="0.35">
      <c r="A719" s="40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5.75" customHeight="1" x14ac:dyDescent="0.35">
      <c r="A720" s="40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5.75" customHeight="1" x14ac:dyDescent="0.35">
      <c r="A721" s="40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5.75" customHeight="1" x14ac:dyDescent="0.35">
      <c r="A722" s="40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5.75" customHeight="1" x14ac:dyDescent="0.35">
      <c r="A723" s="40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5.75" customHeight="1" x14ac:dyDescent="0.35">
      <c r="A724" s="40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5.75" customHeight="1" x14ac:dyDescent="0.35">
      <c r="A725" s="40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5.75" customHeight="1" x14ac:dyDescent="0.35">
      <c r="A726" s="40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5.75" customHeight="1" x14ac:dyDescent="0.35">
      <c r="A727" s="40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5.75" customHeight="1" x14ac:dyDescent="0.35">
      <c r="A728" s="40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5.75" customHeight="1" x14ac:dyDescent="0.35">
      <c r="A729" s="40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5.75" customHeight="1" x14ac:dyDescent="0.35">
      <c r="A730" s="40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5.75" customHeight="1" x14ac:dyDescent="0.35">
      <c r="A731" s="40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5.75" customHeight="1" x14ac:dyDescent="0.35">
      <c r="A732" s="40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5.75" customHeight="1" x14ac:dyDescent="0.35">
      <c r="A733" s="40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5.75" customHeight="1" x14ac:dyDescent="0.35">
      <c r="A734" s="40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5.75" customHeight="1" x14ac:dyDescent="0.35">
      <c r="A735" s="40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5.75" customHeight="1" x14ac:dyDescent="0.35">
      <c r="A736" s="40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5.75" customHeight="1" x14ac:dyDescent="0.35">
      <c r="A737" s="40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5.75" customHeight="1" x14ac:dyDescent="0.35">
      <c r="A738" s="40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5.75" customHeight="1" x14ac:dyDescent="0.35">
      <c r="A739" s="40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5.75" customHeight="1" x14ac:dyDescent="0.35">
      <c r="A740" s="40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5.75" customHeight="1" x14ac:dyDescent="0.35">
      <c r="A741" s="40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5.75" customHeight="1" x14ac:dyDescent="0.35">
      <c r="A742" s="40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5.75" customHeight="1" x14ac:dyDescent="0.35">
      <c r="A743" s="40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5.75" customHeight="1" x14ac:dyDescent="0.35">
      <c r="A744" s="40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5.75" customHeight="1" x14ac:dyDescent="0.35">
      <c r="A745" s="40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5.75" customHeight="1" x14ac:dyDescent="0.35">
      <c r="A746" s="40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5.75" customHeight="1" x14ac:dyDescent="0.35">
      <c r="A747" s="40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5.75" customHeight="1" x14ac:dyDescent="0.35">
      <c r="A748" s="40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5.75" customHeight="1" x14ac:dyDescent="0.35">
      <c r="A749" s="40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5.75" customHeight="1" x14ac:dyDescent="0.35">
      <c r="A750" s="40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5.75" customHeight="1" x14ac:dyDescent="0.35">
      <c r="A751" s="40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5.75" customHeight="1" x14ac:dyDescent="0.35">
      <c r="A752" s="41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1"/>
    </row>
    <row r="753" spans="1:15" ht="15.75" customHeight="1" x14ac:dyDescent="0.35">
      <c r="A753" s="41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1"/>
    </row>
    <row r="754" spans="1:15" ht="15.75" customHeight="1" x14ac:dyDescent="0.35">
      <c r="A754" s="41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1"/>
    </row>
    <row r="755" spans="1:15" ht="15.75" customHeight="1" x14ac:dyDescent="0.35">
      <c r="A755" s="41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1"/>
    </row>
    <row r="756" spans="1:15" ht="15.75" customHeight="1" x14ac:dyDescent="0.35">
      <c r="A756" s="41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1"/>
    </row>
    <row r="757" spans="1:15" ht="15.75" customHeight="1" x14ac:dyDescent="0.35">
      <c r="A757" s="41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1"/>
    </row>
    <row r="758" spans="1:15" ht="15.75" customHeight="1" x14ac:dyDescent="0.35">
      <c r="A758" s="41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1"/>
    </row>
    <row r="759" spans="1:15" ht="15.75" customHeight="1" x14ac:dyDescent="0.35">
      <c r="A759" s="41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1"/>
    </row>
    <row r="760" spans="1:15" ht="15.75" customHeight="1" x14ac:dyDescent="0.35">
      <c r="A760" s="41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1"/>
    </row>
    <row r="761" spans="1:15" ht="15.75" customHeight="1" x14ac:dyDescent="0.35">
      <c r="A761" s="41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1"/>
    </row>
    <row r="762" spans="1:15" ht="15.75" customHeight="1" x14ac:dyDescent="0.35">
      <c r="A762" s="41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1"/>
    </row>
    <row r="763" spans="1:15" ht="15.75" customHeight="1" x14ac:dyDescent="0.35">
      <c r="A763" s="41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1"/>
    </row>
    <row r="764" spans="1:15" ht="15.75" customHeight="1" x14ac:dyDescent="0.35">
      <c r="A764" s="41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1"/>
    </row>
    <row r="765" spans="1:15" ht="15.75" customHeight="1" x14ac:dyDescent="0.35">
      <c r="A765" s="41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1"/>
    </row>
    <row r="766" spans="1:15" ht="15.75" customHeight="1" x14ac:dyDescent="0.35">
      <c r="A766" s="41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1"/>
    </row>
    <row r="767" spans="1:15" ht="15.75" customHeight="1" x14ac:dyDescent="0.35">
      <c r="A767" s="41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1"/>
    </row>
    <row r="768" spans="1:15" ht="15.75" customHeight="1" x14ac:dyDescent="0.35">
      <c r="A768" s="41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1"/>
    </row>
    <row r="769" spans="1:15" ht="15.75" customHeight="1" x14ac:dyDescent="0.35">
      <c r="A769" s="41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1"/>
    </row>
    <row r="770" spans="1:15" ht="15.75" customHeight="1" x14ac:dyDescent="0.35">
      <c r="A770" s="41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1"/>
    </row>
    <row r="771" spans="1:15" ht="15.75" customHeight="1" x14ac:dyDescent="0.35">
      <c r="A771" s="41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1"/>
    </row>
    <row r="772" spans="1:15" ht="15.75" customHeight="1" x14ac:dyDescent="0.35">
      <c r="A772" s="41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1"/>
    </row>
    <row r="773" spans="1:15" ht="15.75" customHeight="1" x14ac:dyDescent="0.35">
      <c r="A773" s="41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1"/>
    </row>
    <row r="774" spans="1:15" ht="15.75" customHeight="1" x14ac:dyDescent="0.35">
      <c r="A774" s="41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1"/>
    </row>
    <row r="775" spans="1:15" ht="15.75" customHeight="1" x14ac:dyDescent="0.35">
      <c r="A775" s="41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1"/>
    </row>
    <row r="776" spans="1:15" ht="15.75" customHeight="1" x14ac:dyDescent="0.35">
      <c r="A776" s="41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1"/>
    </row>
    <row r="777" spans="1:15" ht="15.75" customHeight="1" x14ac:dyDescent="0.35">
      <c r="A777" s="41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1"/>
    </row>
    <row r="778" spans="1:15" ht="15.75" customHeight="1" x14ac:dyDescent="0.35">
      <c r="A778" s="41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1"/>
    </row>
    <row r="779" spans="1:15" ht="15.75" customHeight="1" x14ac:dyDescent="0.35">
      <c r="A779" s="41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1"/>
    </row>
    <row r="780" spans="1:15" ht="15.75" customHeight="1" x14ac:dyDescent="0.35">
      <c r="A780" s="41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1"/>
    </row>
    <row r="781" spans="1:15" ht="15.75" customHeight="1" x14ac:dyDescent="0.35">
      <c r="A781" s="41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1"/>
    </row>
    <row r="782" spans="1:15" ht="15.75" customHeight="1" x14ac:dyDescent="0.35">
      <c r="A782" s="41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1"/>
    </row>
    <row r="783" spans="1:15" ht="15.75" customHeight="1" x14ac:dyDescent="0.35">
      <c r="A783" s="41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1"/>
    </row>
    <row r="784" spans="1:15" ht="15.75" customHeight="1" x14ac:dyDescent="0.35">
      <c r="A784" s="41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1"/>
    </row>
    <row r="785" spans="1:15" ht="15.75" customHeight="1" x14ac:dyDescent="0.35">
      <c r="A785" s="41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1"/>
    </row>
    <row r="786" spans="1:15" ht="15.75" customHeight="1" x14ac:dyDescent="0.35">
      <c r="A786" s="41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1"/>
    </row>
    <row r="787" spans="1:15" ht="15.75" customHeight="1" x14ac:dyDescent="0.35">
      <c r="A787" s="41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1"/>
    </row>
    <row r="788" spans="1:15" ht="15.75" customHeight="1" x14ac:dyDescent="0.35">
      <c r="A788" s="41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1"/>
    </row>
    <row r="789" spans="1:15" ht="15.75" customHeight="1" x14ac:dyDescent="0.35">
      <c r="A789" s="41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1"/>
    </row>
    <row r="790" spans="1:15" ht="15.75" customHeight="1" x14ac:dyDescent="0.35">
      <c r="A790" s="41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1"/>
    </row>
    <row r="791" spans="1:15" ht="15.75" customHeight="1" x14ac:dyDescent="0.35">
      <c r="A791" s="41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1"/>
    </row>
    <row r="792" spans="1:15" ht="15.75" customHeight="1" x14ac:dyDescent="0.35">
      <c r="A792" s="41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1"/>
    </row>
    <row r="793" spans="1:15" ht="15.75" customHeight="1" x14ac:dyDescent="0.35">
      <c r="A793" s="41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1"/>
    </row>
    <row r="794" spans="1:15" ht="15.75" customHeight="1" x14ac:dyDescent="0.35">
      <c r="A794" s="41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1"/>
    </row>
    <row r="795" spans="1:15" ht="15.75" customHeight="1" x14ac:dyDescent="0.35">
      <c r="A795" s="41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1"/>
    </row>
    <row r="796" spans="1:15" ht="15.75" customHeight="1" x14ac:dyDescent="0.35">
      <c r="A796" s="41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1"/>
    </row>
    <row r="797" spans="1:15" ht="15.75" customHeight="1" x14ac:dyDescent="0.35">
      <c r="A797" s="41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1"/>
    </row>
    <row r="798" spans="1:15" ht="15.75" customHeight="1" x14ac:dyDescent="0.35">
      <c r="A798" s="41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1"/>
    </row>
    <row r="799" spans="1:15" ht="15.75" customHeight="1" x14ac:dyDescent="0.35">
      <c r="A799" s="41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1"/>
    </row>
    <row r="800" spans="1:15" ht="15.75" customHeight="1" x14ac:dyDescent="0.35">
      <c r="A800" s="41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1"/>
    </row>
    <row r="801" spans="1:15" ht="15.75" customHeight="1" x14ac:dyDescent="0.35">
      <c r="A801" s="41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1"/>
    </row>
    <row r="802" spans="1:15" ht="15.75" customHeight="1" x14ac:dyDescent="0.35">
      <c r="A802" s="41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1"/>
    </row>
    <row r="803" spans="1:15" ht="15.75" customHeight="1" x14ac:dyDescent="0.35">
      <c r="A803" s="41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1"/>
    </row>
    <row r="804" spans="1:15" ht="15.75" customHeight="1" x14ac:dyDescent="0.35">
      <c r="A804" s="41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1"/>
    </row>
    <row r="805" spans="1:15" ht="15.75" customHeight="1" x14ac:dyDescent="0.35">
      <c r="A805" s="41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1"/>
    </row>
    <row r="806" spans="1:15" ht="15.75" customHeight="1" x14ac:dyDescent="0.35">
      <c r="A806" s="41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1"/>
    </row>
    <row r="807" spans="1:15" ht="15.75" customHeight="1" x14ac:dyDescent="0.35">
      <c r="A807" s="41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1"/>
    </row>
    <row r="808" spans="1:15" ht="15.75" customHeight="1" x14ac:dyDescent="0.35">
      <c r="A808" s="41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1"/>
    </row>
    <row r="809" spans="1:15" ht="15.75" customHeight="1" x14ac:dyDescent="0.35">
      <c r="A809" s="41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1"/>
    </row>
    <row r="810" spans="1:15" ht="15.75" customHeight="1" x14ac:dyDescent="0.35">
      <c r="A810" s="41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1"/>
    </row>
    <row r="811" spans="1:15" ht="15.75" customHeight="1" x14ac:dyDescent="0.35">
      <c r="A811" s="41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1"/>
    </row>
    <row r="812" spans="1:15" ht="15.75" customHeight="1" x14ac:dyDescent="0.35">
      <c r="A812" s="41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1"/>
    </row>
    <row r="813" spans="1:15" ht="15.75" customHeight="1" x14ac:dyDescent="0.35">
      <c r="A813" s="41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1"/>
    </row>
    <row r="814" spans="1:15" ht="15.75" customHeight="1" x14ac:dyDescent="0.35">
      <c r="A814" s="41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1"/>
    </row>
    <row r="815" spans="1:15" ht="15.75" customHeight="1" x14ac:dyDescent="0.35">
      <c r="A815" s="41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1"/>
    </row>
    <row r="816" spans="1:15" ht="15.75" customHeight="1" x14ac:dyDescent="0.35">
      <c r="A816" s="41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1"/>
    </row>
    <row r="817" spans="1:15" ht="15.75" customHeight="1" x14ac:dyDescent="0.35">
      <c r="A817" s="41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1"/>
    </row>
    <row r="818" spans="1:15" ht="15.75" customHeight="1" x14ac:dyDescent="0.35">
      <c r="A818" s="41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1"/>
    </row>
    <row r="819" spans="1:15" ht="15.75" customHeight="1" x14ac:dyDescent="0.35">
      <c r="A819" s="41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1"/>
    </row>
    <row r="820" spans="1:15" ht="15.75" customHeight="1" x14ac:dyDescent="0.35">
      <c r="A820" s="41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1"/>
    </row>
    <row r="821" spans="1:15" ht="15.75" customHeight="1" x14ac:dyDescent="0.35">
      <c r="A821" s="41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1"/>
    </row>
    <row r="822" spans="1:15" ht="15.75" customHeight="1" x14ac:dyDescent="0.35">
      <c r="A822" s="41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1"/>
    </row>
    <row r="823" spans="1:15" ht="15.75" customHeight="1" x14ac:dyDescent="0.35">
      <c r="A823" s="41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1"/>
    </row>
    <row r="824" spans="1:15" ht="15.75" customHeight="1" x14ac:dyDescent="0.35">
      <c r="A824" s="41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1"/>
    </row>
    <row r="825" spans="1:15" ht="15.75" customHeight="1" x14ac:dyDescent="0.35">
      <c r="A825" s="41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1"/>
    </row>
    <row r="826" spans="1:15" ht="15.75" customHeight="1" x14ac:dyDescent="0.35">
      <c r="A826" s="41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1"/>
    </row>
    <row r="827" spans="1:15" ht="15.75" customHeight="1" x14ac:dyDescent="0.35">
      <c r="A827" s="41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1"/>
    </row>
    <row r="828" spans="1:15" ht="15.75" customHeight="1" x14ac:dyDescent="0.35">
      <c r="A828" s="41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1"/>
    </row>
    <row r="829" spans="1:15" ht="15.75" customHeight="1" x14ac:dyDescent="0.35">
      <c r="A829" s="41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1"/>
    </row>
    <row r="830" spans="1:15" ht="15.75" customHeight="1" x14ac:dyDescent="0.35">
      <c r="A830" s="41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1"/>
    </row>
    <row r="831" spans="1:15" ht="15.75" customHeight="1" x14ac:dyDescent="0.35">
      <c r="A831" s="41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1"/>
    </row>
    <row r="832" spans="1:15" ht="15.75" customHeight="1" x14ac:dyDescent="0.35">
      <c r="A832" s="41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1"/>
    </row>
    <row r="833" spans="1:15" ht="15.75" customHeight="1" x14ac:dyDescent="0.35">
      <c r="A833" s="41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1"/>
    </row>
    <row r="834" spans="1:15" ht="15.75" customHeight="1" x14ac:dyDescent="0.35">
      <c r="A834" s="41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1"/>
    </row>
    <row r="835" spans="1:15" ht="15.75" customHeight="1" x14ac:dyDescent="0.35">
      <c r="A835" s="41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1"/>
    </row>
    <row r="836" spans="1:15" ht="15.75" customHeight="1" x14ac:dyDescent="0.35">
      <c r="A836" s="41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1"/>
    </row>
    <row r="837" spans="1:15" ht="15.75" customHeight="1" x14ac:dyDescent="0.35">
      <c r="A837" s="41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1"/>
    </row>
    <row r="838" spans="1:15" ht="15.75" customHeight="1" x14ac:dyDescent="0.35">
      <c r="A838" s="41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1"/>
    </row>
    <row r="839" spans="1:15" ht="15.75" customHeight="1" x14ac:dyDescent="0.35">
      <c r="A839" s="41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1"/>
    </row>
    <row r="840" spans="1:15" ht="15.75" customHeight="1" x14ac:dyDescent="0.35">
      <c r="A840" s="41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1"/>
    </row>
    <row r="841" spans="1:15" ht="15.75" customHeight="1" x14ac:dyDescent="0.35">
      <c r="A841" s="41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1"/>
    </row>
    <row r="842" spans="1:15" ht="15.75" customHeight="1" x14ac:dyDescent="0.35">
      <c r="A842" s="41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1"/>
    </row>
    <row r="843" spans="1:15" ht="15.75" customHeight="1" x14ac:dyDescent="0.35">
      <c r="A843" s="41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1"/>
    </row>
    <row r="844" spans="1:15" ht="15.75" customHeight="1" x14ac:dyDescent="0.35">
      <c r="A844" s="41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1"/>
    </row>
    <row r="845" spans="1:15" ht="15.75" customHeight="1" x14ac:dyDescent="0.35">
      <c r="A845" s="41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1"/>
    </row>
    <row r="846" spans="1:15" ht="15.75" customHeight="1" x14ac:dyDescent="0.35">
      <c r="A846" s="41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1"/>
    </row>
    <row r="847" spans="1:15" ht="15.75" customHeight="1" x14ac:dyDescent="0.35">
      <c r="A847" s="41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1"/>
    </row>
    <row r="848" spans="1:15" ht="15.75" customHeight="1" x14ac:dyDescent="0.35">
      <c r="A848" s="41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1"/>
    </row>
    <row r="849" spans="1:15" ht="15.75" customHeight="1" x14ac:dyDescent="0.35">
      <c r="A849" s="41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1"/>
    </row>
    <row r="850" spans="1:15" ht="15.75" customHeight="1" x14ac:dyDescent="0.35">
      <c r="A850" s="41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1"/>
    </row>
    <row r="851" spans="1:15" ht="15.75" customHeight="1" x14ac:dyDescent="0.35">
      <c r="A851" s="41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1"/>
    </row>
    <row r="852" spans="1:15" ht="15.75" customHeight="1" x14ac:dyDescent="0.35">
      <c r="A852" s="41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1"/>
    </row>
    <row r="853" spans="1:15" ht="15.75" customHeight="1" x14ac:dyDescent="0.35">
      <c r="A853" s="41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1"/>
    </row>
    <row r="854" spans="1:15" ht="15.75" customHeight="1" x14ac:dyDescent="0.35">
      <c r="A854" s="41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1"/>
    </row>
    <row r="855" spans="1:15" ht="15.75" customHeight="1" x14ac:dyDescent="0.35">
      <c r="A855" s="41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1"/>
    </row>
    <row r="856" spans="1:15" ht="15.75" customHeight="1" x14ac:dyDescent="0.35">
      <c r="A856" s="41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1"/>
    </row>
    <row r="857" spans="1:15" ht="15.75" customHeight="1" x14ac:dyDescent="0.35">
      <c r="A857" s="41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1"/>
    </row>
    <row r="858" spans="1:15" ht="15.75" customHeight="1" x14ac:dyDescent="0.35">
      <c r="A858" s="41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1"/>
    </row>
    <row r="859" spans="1:15" ht="15.75" customHeight="1" x14ac:dyDescent="0.35">
      <c r="A859" s="41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1"/>
    </row>
    <row r="860" spans="1:15" ht="15.75" customHeight="1" x14ac:dyDescent="0.35">
      <c r="A860" s="41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1"/>
    </row>
    <row r="861" spans="1:15" ht="15.75" customHeight="1" x14ac:dyDescent="0.35">
      <c r="A861" s="41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1"/>
    </row>
    <row r="862" spans="1:15" ht="15.75" customHeight="1" x14ac:dyDescent="0.35">
      <c r="A862" s="41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1"/>
    </row>
    <row r="863" spans="1:15" ht="15.75" customHeight="1" x14ac:dyDescent="0.35">
      <c r="A863" s="41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1"/>
    </row>
    <row r="864" spans="1:15" ht="15.75" customHeight="1" x14ac:dyDescent="0.35">
      <c r="A864" s="41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1"/>
    </row>
    <row r="865" spans="1:15" ht="15.75" customHeight="1" x14ac:dyDescent="0.35">
      <c r="A865" s="41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1"/>
    </row>
    <row r="866" spans="1:15" ht="15.75" customHeight="1" x14ac:dyDescent="0.35">
      <c r="A866" s="41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1"/>
    </row>
    <row r="867" spans="1:15" ht="15.75" customHeight="1" x14ac:dyDescent="0.35">
      <c r="A867" s="41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1"/>
    </row>
    <row r="868" spans="1:15" ht="15.75" customHeight="1" x14ac:dyDescent="0.35">
      <c r="A868" s="41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1"/>
    </row>
    <row r="869" spans="1:15" ht="15.75" customHeight="1" x14ac:dyDescent="0.35">
      <c r="A869" s="41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1"/>
    </row>
    <row r="870" spans="1:15" ht="15.75" customHeight="1" x14ac:dyDescent="0.35">
      <c r="A870" s="41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1"/>
    </row>
    <row r="871" spans="1:15" ht="15.75" customHeight="1" x14ac:dyDescent="0.35">
      <c r="A871" s="41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1"/>
    </row>
    <row r="872" spans="1:15" ht="15.75" customHeight="1" x14ac:dyDescent="0.35">
      <c r="A872" s="41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1"/>
    </row>
    <row r="873" spans="1:15" ht="15.75" customHeight="1" x14ac:dyDescent="0.35">
      <c r="A873" s="41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1"/>
    </row>
    <row r="874" spans="1:15" ht="15.75" customHeight="1" x14ac:dyDescent="0.35">
      <c r="A874" s="41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1"/>
    </row>
    <row r="875" spans="1:15" ht="15.75" customHeight="1" x14ac:dyDescent="0.35">
      <c r="A875" s="41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1"/>
    </row>
    <row r="876" spans="1:15" ht="15.75" customHeight="1" x14ac:dyDescent="0.35">
      <c r="A876" s="41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1"/>
    </row>
    <row r="877" spans="1:15" ht="15.75" customHeight="1" x14ac:dyDescent="0.35">
      <c r="A877" s="41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1"/>
    </row>
    <row r="878" spans="1:15" ht="15.75" customHeight="1" x14ac:dyDescent="0.35">
      <c r="A878" s="41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1"/>
    </row>
    <row r="879" spans="1:15" ht="15.75" customHeight="1" x14ac:dyDescent="0.35">
      <c r="A879" s="41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1"/>
    </row>
    <row r="880" spans="1:15" ht="15.75" customHeight="1" x14ac:dyDescent="0.35">
      <c r="A880" s="41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1"/>
    </row>
    <row r="881" spans="1:15" ht="15.75" customHeight="1" x14ac:dyDescent="0.35">
      <c r="A881" s="41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1"/>
    </row>
    <row r="882" spans="1:15" ht="15.75" customHeight="1" x14ac:dyDescent="0.35">
      <c r="A882" s="41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1"/>
    </row>
    <row r="883" spans="1:15" ht="15.75" customHeight="1" x14ac:dyDescent="0.35">
      <c r="A883" s="41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1"/>
    </row>
    <row r="884" spans="1:15" ht="15.75" customHeight="1" x14ac:dyDescent="0.35">
      <c r="A884" s="41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1"/>
    </row>
    <row r="885" spans="1:15" ht="15.75" customHeight="1" x14ac:dyDescent="0.35">
      <c r="A885" s="41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1"/>
    </row>
    <row r="886" spans="1:15" ht="15.75" customHeight="1" x14ac:dyDescent="0.35">
      <c r="A886" s="41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1"/>
    </row>
  </sheetData>
  <autoFilter ref="B4:O9" xr:uid="{00000000-0009-0000-0000-00000C000000}">
    <sortState xmlns:xlrd2="http://schemas.microsoft.com/office/spreadsheetml/2017/richdata2" ref="B5:O9">
      <sortCondition descending="1" ref="E4:E9"/>
      <sortCondition ref="C4:C9"/>
      <sortCondition ref="B4:B9"/>
    </sortState>
  </autoFilter>
  <mergeCells count="12">
    <mergeCell ref="F2:F3"/>
    <mergeCell ref="G2:I2"/>
    <mergeCell ref="K2:K3"/>
    <mergeCell ref="L2:N2"/>
    <mergeCell ref="A1:B1"/>
    <mergeCell ref="C1:O1"/>
    <mergeCell ref="A2:A3"/>
    <mergeCell ref="B2:B3"/>
    <mergeCell ref="C2:C3"/>
    <mergeCell ref="D2:D3"/>
    <mergeCell ref="E2:E3"/>
    <mergeCell ref="O2:O3"/>
  </mergeCells>
  <dataValidations count="3">
    <dataValidation type="list" allowBlank="1" showErrorMessage="1" sqref="F5:F9" xr:uid="{00000000-0002-0000-0C00-000000000000}">
      <formula1>"Central,Linda Vista,Norte,Sur,Carazo,Masatepe,Granada,Estelí,Juigalpa,Otra"</formula1>
    </dataValidation>
    <dataValidation type="list" allowBlank="1" showErrorMessage="1" sqref="C5:C9" xr:uid="{00000000-0002-0000-0C00-000001000000}">
      <formula1>"Nivel 1,2"</formula1>
    </dataValidation>
    <dataValidation type="list" allowBlank="1" showErrorMessage="1" sqref="G5:J9" xr:uid="{00000000-0002-0000-0C00-000002000000}">
      <formula1>"X,A,T,J"</formula1>
    </dataValidation>
  </dataValidations>
  <pageMargins left="0.7" right="0.7" top="0.75" bottom="0.75" header="0" footer="0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A9999"/>
  </sheetPr>
  <dimension ref="A1:Q89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0.07421875" defaultRowHeight="15" customHeight="1" x14ac:dyDescent="0.35"/>
  <cols>
    <col min="1" max="1" width="3.23046875" customWidth="1"/>
    <col min="2" max="2" width="17.765625" customWidth="1"/>
    <col min="3" max="3" width="10.921875" customWidth="1"/>
    <col min="4" max="4" width="4.3828125" customWidth="1"/>
    <col min="5" max="5" width="11" customWidth="1"/>
    <col min="6" max="6" width="11.3828125" customWidth="1"/>
    <col min="7" max="7" width="5" customWidth="1"/>
    <col min="8" max="11" width="6.07421875" customWidth="1"/>
    <col min="12" max="12" width="10" customWidth="1"/>
    <col min="13" max="13" width="6.69140625" customWidth="1"/>
    <col min="14" max="16" width="3.921875" customWidth="1"/>
    <col min="17" max="17" width="5.4609375" customWidth="1"/>
  </cols>
  <sheetData>
    <row r="1" spans="1:17" ht="18.75" customHeight="1" x14ac:dyDescent="0.35">
      <c r="A1" s="99" t="s">
        <v>0</v>
      </c>
      <c r="B1" s="100"/>
      <c r="C1" s="95" t="s">
        <v>62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7"/>
    </row>
    <row r="2" spans="1:17" ht="15.5" x14ac:dyDescent="0.35">
      <c r="A2" s="101" t="s">
        <v>2</v>
      </c>
      <c r="B2" s="103" t="s">
        <v>3</v>
      </c>
      <c r="C2" s="105" t="s">
        <v>4</v>
      </c>
      <c r="D2" s="103" t="s">
        <v>52</v>
      </c>
      <c r="E2" s="103" t="s">
        <v>53</v>
      </c>
      <c r="F2" s="103" t="s">
        <v>54</v>
      </c>
      <c r="G2" s="108" t="s">
        <v>48</v>
      </c>
      <c r="H2" s="109"/>
      <c r="I2" s="109"/>
      <c r="J2" s="108" t="s">
        <v>49</v>
      </c>
      <c r="K2" s="109"/>
      <c r="L2" s="110" t="s">
        <v>55</v>
      </c>
      <c r="M2" s="110" t="s">
        <v>63</v>
      </c>
      <c r="N2" s="108" t="s">
        <v>56</v>
      </c>
      <c r="O2" s="109"/>
      <c r="P2" s="111"/>
      <c r="Q2" s="112" t="s">
        <v>6</v>
      </c>
    </row>
    <row r="3" spans="1:17" ht="14.25" customHeight="1" x14ac:dyDescent="0.35">
      <c r="A3" s="102"/>
      <c r="B3" s="104"/>
      <c r="C3" s="104"/>
      <c r="D3" s="104"/>
      <c r="E3" s="104"/>
      <c r="F3" s="104"/>
      <c r="G3" s="2">
        <v>14</v>
      </c>
      <c r="H3" s="2">
        <v>21</v>
      </c>
      <c r="I3" s="2">
        <v>28</v>
      </c>
      <c r="J3" s="2">
        <v>11</v>
      </c>
      <c r="K3" s="2">
        <v>18</v>
      </c>
      <c r="L3" s="104"/>
      <c r="M3" s="104"/>
      <c r="N3" s="2">
        <v>1</v>
      </c>
      <c r="O3" s="2">
        <v>2</v>
      </c>
      <c r="P3" s="2">
        <v>3</v>
      </c>
      <c r="Q3" s="113"/>
    </row>
    <row r="4" spans="1:17" ht="12" customHeight="1" x14ac:dyDescent="0.35">
      <c r="A4" s="5"/>
      <c r="B4" s="6"/>
      <c r="C4" s="7"/>
      <c r="D4" s="59"/>
      <c r="E4" s="59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76"/>
    </row>
    <row r="5" spans="1:17" ht="22.5" customHeight="1" x14ac:dyDescent="0.35">
      <c r="A5" s="10">
        <v>1</v>
      </c>
      <c r="B5" s="38" t="s">
        <v>64</v>
      </c>
      <c r="C5" s="7" t="s">
        <v>65</v>
      </c>
      <c r="D5" s="77">
        <v>26</v>
      </c>
      <c r="E5" s="72">
        <v>76592784</v>
      </c>
      <c r="F5" s="59" t="s">
        <v>66</v>
      </c>
      <c r="G5" s="2"/>
      <c r="H5" s="13"/>
      <c r="I5" s="13"/>
      <c r="J5" s="13"/>
      <c r="K5" s="13"/>
      <c r="L5" s="13">
        <f t="shared" ref="L5:L14" si="0">COUNTIF(G5:H5,"A")</f>
        <v>0</v>
      </c>
      <c r="M5" s="13" t="s">
        <v>11</v>
      </c>
      <c r="N5" s="13" t="s">
        <v>15</v>
      </c>
      <c r="O5" s="13"/>
      <c r="P5" s="13"/>
      <c r="Q5" s="76"/>
    </row>
    <row r="6" spans="1:17" ht="22.5" customHeight="1" x14ac:dyDescent="0.35">
      <c r="A6" s="10">
        <v>2</v>
      </c>
      <c r="B6" s="6"/>
      <c r="C6" s="7"/>
      <c r="D6" s="77"/>
      <c r="E6" s="72"/>
      <c r="F6" s="59"/>
      <c r="G6" s="2"/>
      <c r="H6" s="13"/>
      <c r="I6" s="13"/>
      <c r="J6" s="13"/>
      <c r="K6" s="13"/>
      <c r="L6" s="13">
        <f t="shared" si="0"/>
        <v>0</v>
      </c>
      <c r="M6" s="13" t="s">
        <v>67</v>
      </c>
      <c r="N6" s="13"/>
      <c r="O6" s="13"/>
      <c r="P6" s="13"/>
      <c r="Q6" s="76"/>
    </row>
    <row r="7" spans="1:17" ht="22.5" customHeight="1" x14ac:dyDescent="0.35">
      <c r="A7" s="10">
        <v>3</v>
      </c>
      <c r="B7" s="11"/>
      <c r="C7" s="7"/>
      <c r="D7" s="77"/>
      <c r="E7" s="72"/>
      <c r="F7" s="59"/>
      <c r="G7" s="2"/>
      <c r="H7" s="13"/>
      <c r="I7" s="13"/>
      <c r="J7" s="13"/>
      <c r="K7" s="13"/>
      <c r="L7" s="13">
        <f t="shared" si="0"/>
        <v>0</v>
      </c>
      <c r="M7" s="13"/>
      <c r="N7" s="13"/>
      <c r="O7" s="13"/>
      <c r="P7" s="13"/>
      <c r="Q7" s="76"/>
    </row>
    <row r="8" spans="1:17" ht="22.5" customHeight="1" x14ac:dyDescent="0.35">
      <c r="A8" s="10">
        <v>4</v>
      </c>
      <c r="B8" s="6"/>
      <c r="C8" s="7"/>
      <c r="D8" s="77"/>
      <c r="E8" s="72"/>
      <c r="F8" s="59"/>
      <c r="G8" s="2"/>
      <c r="H8" s="13"/>
      <c r="I8" s="13"/>
      <c r="J8" s="13"/>
      <c r="K8" s="13"/>
      <c r="L8" s="13">
        <f t="shared" si="0"/>
        <v>0</v>
      </c>
      <c r="M8" s="13"/>
      <c r="N8" s="13"/>
      <c r="O8" s="13"/>
      <c r="P8" s="13"/>
      <c r="Q8" s="73"/>
    </row>
    <row r="9" spans="1:17" ht="22.5" customHeight="1" x14ac:dyDescent="0.35">
      <c r="A9" s="10">
        <v>5</v>
      </c>
      <c r="B9" s="11"/>
      <c r="C9" s="7"/>
      <c r="D9" s="77"/>
      <c r="E9" s="72"/>
      <c r="F9" s="59"/>
      <c r="G9" s="2"/>
      <c r="H9" s="2"/>
      <c r="I9" s="2"/>
      <c r="J9" s="2"/>
      <c r="K9" s="2"/>
      <c r="L9" s="13">
        <f t="shared" si="0"/>
        <v>0</v>
      </c>
      <c r="M9" s="13"/>
      <c r="N9" s="13"/>
      <c r="O9" s="13"/>
      <c r="P9" s="13"/>
      <c r="Q9" s="76"/>
    </row>
    <row r="10" spans="1:17" ht="22.5" customHeight="1" x14ac:dyDescent="0.35">
      <c r="A10" s="10">
        <v>6</v>
      </c>
      <c r="B10" s="11"/>
      <c r="C10" s="7"/>
      <c r="D10" s="77"/>
      <c r="E10" s="72"/>
      <c r="F10" s="59"/>
      <c r="G10" s="2"/>
      <c r="H10" s="13"/>
      <c r="I10" s="13"/>
      <c r="J10" s="13"/>
      <c r="K10" s="13"/>
      <c r="L10" s="13">
        <f t="shared" si="0"/>
        <v>0</v>
      </c>
      <c r="M10" s="13"/>
      <c r="N10" s="13"/>
      <c r="O10" s="13"/>
      <c r="P10" s="13"/>
      <c r="Q10" s="73"/>
    </row>
    <row r="11" spans="1:17" ht="22.5" customHeight="1" x14ac:dyDescent="0.35">
      <c r="A11" s="10">
        <v>7</v>
      </c>
      <c r="B11" s="11"/>
      <c r="C11" s="7"/>
      <c r="D11" s="77"/>
      <c r="E11" s="72"/>
      <c r="F11" s="59"/>
      <c r="G11" s="2"/>
      <c r="H11" s="2"/>
      <c r="I11" s="2"/>
      <c r="J11" s="2"/>
      <c r="K11" s="2"/>
      <c r="L11" s="13">
        <f t="shared" si="0"/>
        <v>0</v>
      </c>
      <c r="M11" s="13"/>
      <c r="N11" s="13"/>
      <c r="O11" s="13"/>
      <c r="P11" s="13"/>
      <c r="Q11" s="73"/>
    </row>
    <row r="12" spans="1:17" ht="22.5" customHeight="1" x14ac:dyDescent="0.35">
      <c r="A12" s="10">
        <v>8</v>
      </c>
      <c r="B12" s="11"/>
      <c r="C12" s="7"/>
      <c r="D12" s="77"/>
      <c r="E12" s="72"/>
      <c r="F12" s="59"/>
      <c r="G12" s="2"/>
      <c r="H12" s="13"/>
      <c r="I12" s="13"/>
      <c r="J12" s="13"/>
      <c r="K12" s="13"/>
      <c r="L12" s="13">
        <f t="shared" si="0"/>
        <v>0</v>
      </c>
      <c r="M12" s="13"/>
      <c r="N12" s="13"/>
      <c r="O12" s="13"/>
      <c r="P12" s="13"/>
      <c r="Q12" s="4"/>
    </row>
    <row r="13" spans="1:17" ht="22.5" customHeight="1" x14ac:dyDescent="0.35">
      <c r="A13" s="10">
        <v>9</v>
      </c>
      <c r="B13" s="11"/>
      <c r="C13" s="7"/>
      <c r="D13" s="77"/>
      <c r="E13" s="72"/>
      <c r="F13" s="59"/>
      <c r="G13" s="2"/>
      <c r="H13" s="13"/>
      <c r="I13" s="13"/>
      <c r="J13" s="13"/>
      <c r="K13" s="13"/>
      <c r="L13" s="13">
        <f t="shared" si="0"/>
        <v>0</v>
      </c>
      <c r="M13" s="13"/>
      <c r="N13" s="13"/>
      <c r="O13" s="13"/>
      <c r="P13" s="13"/>
      <c r="Q13" s="73"/>
    </row>
    <row r="14" spans="1:17" ht="22.5" customHeight="1" x14ac:dyDescent="0.35">
      <c r="A14" s="28">
        <v>10</v>
      </c>
      <c r="B14" s="29"/>
      <c r="C14" s="47"/>
      <c r="D14" s="78"/>
      <c r="E14" s="79"/>
      <c r="F14" s="60"/>
      <c r="G14" s="75"/>
      <c r="H14" s="75"/>
      <c r="I14" s="75"/>
      <c r="J14" s="75"/>
      <c r="K14" s="75"/>
      <c r="L14" s="57">
        <f t="shared" si="0"/>
        <v>0</v>
      </c>
      <c r="M14" s="57"/>
      <c r="N14" s="57"/>
      <c r="O14" s="57"/>
      <c r="P14" s="57"/>
      <c r="Q14" s="52"/>
    </row>
    <row r="15" spans="1:17" ht="30" customHeight="1" x14ac:dyDescent="0.35">
      <c r="A15" s="33"/>
      <c r="B15" s="34"/>
      <c r="C15" s="35"/>
      <c r="D15" s="34"/>
      <c r="E15" s="34"/>
      <c r="F15" s="80" t="s">
        <v>57</v>
      </c>
      <c r="G15" s="74">
        <f t="shared" ref="G15:K15" si="1">COUNTIF(G5:G14,"X")</f>
        <v>0</v>
      </c>
      <c r="H15" s="74">
        <f t="shared" si="1"/>
        <v>0</v>
      </c>
      <c r="I15" s="74">
        <f t="shared" si="1"/>
        <v>0</v>
      </c>
      <c r="J15" s="74">
        <f t="shared" si="1"/>
        <v>0</v>
      </c>
      <c r="K15" s="71">
        <f t="shared" si="1"/>
        <v>0</v>
      </c>
      <c r="L15" s="36"/>
      <c r="M15" s="36"/>
      <c r="N15" s="36"/>
      <c r="O15" s="36"/>
      <c r="P15" s="36"/>
      <c r="Q15" s="40"/>
    </row>
    <row r="16" spans="1:17" ht="30" customHeight="1" x14ac:dyDescent="0.35">
      <c r="A16" s="33"/>
      <c r="B16" s="34"/>
      <c r="C16" s="35"/>
      <c r="D16" s="34"/>
      <c r="E16" s="34"/>
      <c r="F16" s="81" t="s">
        <v>58</v>
      </c>
      <c r="G16" s="2">
        <f t="shared" ref="G16:K16" si="2">COUNTIF(G5:G14,"J")</f>
        <v>0</v>
      </c>
      <c r="H16" s="2">
        <f t="shared" si="2"/>
        <v>0</v>
      </c>
      <c r="I16" s="2">
        <f t="shared" si="2"/>
        <v>0</v>
      </c>
      <c r="J16" s="2">
        <f t="shared" si="2"/>
        <v>0</v>
      </c>
      <c r="K16" s="4">
        <f t="shared" si="2"/>
        <v>0</v>
      </c>
      <c r="L16" s="36"/>
      <c r="M16" s="36"/>
      <c r="N16" s="36"/>
      <c r="O16" s="36"/>
      <c r="P16" s="36"/>
      <c r="Q16" s="40"/>
    </row>
    <row r="17" spans="1:17" ht="30" customHeight="1" x14ac:dyDescent="0.35">
      <c r="A17" s="33"/>
      <c r="B17" s="34"/>
      <c r="C17" s="35"/>
      <c r="D17" s="34"/>
      <c r="E17" s="34"/>
      <c r="F17" s="81" t="s">
        <v>59</v>
      </c>
      <c r="G17" s="2">
        <f t="shared" ref="G17:K17" si="3">COUNTIF(G5:G14,"T")</f>
        <v>0</v>
      </c>
      <c r="H17" s="2">
        <f t="shared" si="3"/>
        <v>0</v>
      </c>
      <c r="I17" s="2">
        <f t="shared" si="3"/>
        <v>0</v>
      </c>
      <c r="J17" s="2">
        <f t="shared" si="3"/>
        <v>0</v>
      </c>
      <c r="K17" s="4">
        <f t="shared" si="3"/>
        <v>0</v>
      </c>
      <c r="L17" s="36"/>
      <c r="M17" s="36"/>
      <c r="N17" s="36"/>
      <c r="O17" s="36"/>
      <c r="P17" s="36"/>
      <c r="Q17" s="40"/>
    </row>
    <row r="18" spans="1:17" ht="30" customHeight="1" x14ac:dyDescent="0.35">
      <c r="A18" s="33"/>
      <c r="B18" s="34"/>
      <c r="C18" s="35"/>
      <c r="D18" s="34"/>
      <c r="E18" s="34"/>
      <c r="F18" s="81" t="s">
        <v>60</v>
      </c>
      <c r="G18" s="2">
        <f t="shared" ref="G18:K18" si="4">COUNTIF(G5:G14,"A")</f>
        <v>0</v>
      </c>
      <c r="H18" s="2">
        <f t="shared" si="4"/>
        <v>0</v>
      </c>
      <c r="I18" s="2">
        <f t="shared" si="4"/>
        <v>0</v>
      </c>
      <c r="J18" s="2">
        <f t="shared" si="4"/>
        <v>0</v>
      </c>
      <c r="K18" s="4">
        <f t="shared" si="4"/>
        <v>0</v>
      </c>
      <c r="L18" s="36"/>
      <c r="M18" s="36"/>
      <c r="N18" s="36"/>
      <c r="O18" s="36"/>
      <c r="P18" s="36"/>
      <c r="Q18" s="40"/>
    </row>
    <row r="19" spans="1:17" ht="30" customHeight="1" x14ac:dyDescent="0.35">
      <c r="A19" s="33"/>
      <c r="B19" s="34"/>
      <c r="C19" s="35"/>
      <c r="D19" s="34"/>
      <c r="E19" s="34"/>
      <c r="F19" s="82" t="s">
        <v>61</v>
      </c>
      <c r="G19" s="30">
        <f t="shared" ref="G19:K19" si="5">SUM(G15:G18)</f>
        <v>0</v>
      </c>
      <c r="H19" s="30">
        <f t="shared" si="5"/>
        <v>0</v>
      </c>
      <c r="I19" s="30">
        <f t="shared" si="5"/>
        <v>0</v>
      </c>
      <c r="J19" s="30">
        <f t="shared" si="5"/>
        <v>0</v>
      </c>
      <c r="K19" s="32">
        <f t="shared" si="5"/>
        <v>0</v>
      </c>
      <c r="L19" s="36"/>
      <c r="M19" s="36"/>
      <c r="N19" s="36"/>
      <c r="O19" s="36"/>
      <c r="P19" s="36"/>
      <c r="Q19" s="40"/>
    </row>
    <row r="20" spans="1:17" ht="26.25" customHeight="1" x14ac:dyDescent="0.35">
      <c r="A20" s="37"/>
      <c r="B20" s="38"/>
      <c r="C20" s="39"/>
      <c r="D20" s="40"/>
      <c r="E20" s="40"/>
      <c r="F20" s="40"/>
      <c r="G20" s="40"/>
      <c r="H20" s="40"/>
      <c r="I20" s="40"/>
      <c r="J20" s="40"/>
      <c r="K20" s="40"/>
      <c r="L20" s="34"/>
      <c r="M20" s="34"/>
      <c r="N20" s="34"/>
      <c r="O20" s="34"/>
      <c r="P20" s="34"/>
      <c r="Q20" s="34"/>
    </row>
    <row r="21" spans="1:17" ht="26.25" customHeight="1" x14ac:dyDescent="0.35">
      <c r="A21" s="37"/>
      <c r="B21" s="38"/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 spans="1:17" ht="26.25" customHeight="1" x14ac:dyDescent="0.35">
      <c r="A22" s="37"/>
      <c r="B22" s="38"/>
      <c r="C22" s="3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 spans="1:17" ht="26.25" customHeight="1" x14ac:dyDescent="0.35">
      <c r="A23" s="37"/>
      <c r="B23" s="38"/>
      <c r="C23" s="39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</row>
    <row r="24" spans="1:17" ht="13.5" customHeight="1" x14ac:dyDescent="0.35">
      <c r="A24" s="37"/>
      <c r="B24" s="38"/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</row>
    <row r="25" spans="1:17" ht="13.5" customHeight="1" x14ac:dyDescent="0.35">
      <c r="A25" s="37"/>
      <c r="B25" s="38"/>
      <c r="C25" s="39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 spans="1:17" ht="13.5" customHeight="1" x14ac:dyDescent="0.35">
      <c r="A26" s="37"/>
      <c r="B26" s="38"/>
      <c r="C26" s="39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1:17" ht="13.5" customHeight="1" x14ac:dyDescent="0.35">
      <c r="A27" s="37"/>
      <c r="B27" s="38"/>
      <c r="C27" s="39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 spans="1:17" ht="13.5" customHeight="1" x14ac:dyDescent="0.35">
      <c r="A28" s="37"/>
      <c r="B28" s="38"/>
      <c r="C28" s="39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 spans="1:17" ht="13.5" customHeight="1" x14ac:dyDescent="0.35">
      <c r="A29" s="37"/>
      <c r="B29" s="38"/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  <row r="30" spans="1:17" ht="13.5" customHeight="1" x14ac:dyDescent="0.35">
      <c r="A30" s="37"/>
      <c r="B30" s="38"/>
      <c r="C30" s="39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 spans="1:17" ht="13.5" customHeight="1" x14ac:dyDescent="0.35">
      <c r="A31" s="37"/>
      <c r="B31" s="38"/>
      <c r="C31" s="39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</row>
    <row r="32" spans="1:17" ht="13.5" customHeight="1" x14ac:dyDescent="0.35">
      <c r="A32" s="37"/>
      <c r="B32" s="38"/>
      <c r="C32" s="39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</row>
    <row r="33" spans="1:17" ht="13.5" customHeight="1" x14ac:dyDescent="0.35">
      <c r="A33" s="37"/>
      <c r="B33" s="38"/>
      <c r="C33" s="39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</row>
    <row r="34" spans="1:17" ht="13.5" customHeight="1" x14ac:dyDescent="0.35">
      <c r="A34" s="37"/>
      <c r="B34" s="38"/>
      <c r="C34" s="39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</row>
    <row r="35" spans="1:17" ht="13.5" customHeight="1" x14ac:dyDescent="0.35">
      <c r="A35" s="37"/>
      <c r="B35" s="38"/>
      <c r="C35" s="39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</row>
    <row r="36" spans="1:17" ht="13.5" customHeight="1" x14ac:dyDescent="0.35">
      <c r="A36" s="37"/>
      <c r="B36" s="38"/>
      <c r="C36" s="39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</row>
    <row r="37" spans="1:17" ht="13.5" customHeight="1" x14ac:dyDescent="0.35">
      <c r="A37" s="37"/>
      <c r="B37" s="38"/>
      <c r="C37" s="39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</row>
    <row r="38" spans="1:17" ht="13.5" customHeight="1" x14ac:dyDescent="0.35">
      <c r="A38" s="37"/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</row>
    <row r="39" spans="1:17" ht="13.5" customHeight="1" x14ac:dyDescent="0.35">
      <c r="A39" s="37"/>
      <c r="B39" s="38"/>
      <c r="C39" s="39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</row>
    <row r="40" spans="1:17" ht="13.5" customHeight="1" x14ac:dyDescent="0.35">
      <c r="A40" s="37"/>
      <c r="B40" s="38"/>
      <c r="C40" s="39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</row>
    <row r="41" spans="1:17" ht="13.5" customHeight="1" x14ac:dyDescent="0.35">
      <c r="A41" s="37"/>
      <c r="B41" s="38"/>
      <c r="C41" s="39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</row>
    <row r="42" spans="1:17" ht="13.5" customHeight="1" x14ac:dyDescent="0.35">
      <c r="A42" s="37"/>
      <c r="B42" s="38"/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</row>
    <row r="43" spans="1:17" ht="13.5" customHeight="1" x14ac:dyDescent="0.35">
      <c r="A43" s="37"/>
      <c r="B43" s="38"/>
      <c r="C43" s="39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</row>
    <row r="44" spans="1:17" ht="13.5" customHeight="1" x14ac:dyDescent="0.35">
      <c r="A44" s="37"/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</row>
    <row r="45" spans="1:17" ht="13.5" customHeight="1" x14ac:dyDescent="0.35">
      <c r="A45" s="37"/>
      <c r="B45" s="38"/>
      <c r="C45" s="39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</row>
    <row r="46" spans="1:17" ht="13.5" customHeight="1" x14ac:dyDescent="0.35">
      <c r="A46" s="37"/>
      <c r="B46" s="38"/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</row>
    <row r="47" spans="1:17" ht="13.5" customHeight="1" x14ac:dyDescent="0.35">
      <c r="A47" s="37"/>
      <c r="B47" s="38"/>
      <c r="C47" s="39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</row>
    <row r="48" spans="1:17" ht="13.5" customHeight="1" x14ac:dyDescent="0.35">
      <c r="A48" s="37"/>
      <c r="B48" s="38"/>
      <c r="C48" s="39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</row>
    <row r="49" spans="1:17" ht="13.5" customHeight="1" x14ac:dyDescent="0.35">
      <c r="A49" s="37"/>
      <c r="B49" s="38"/>
      <c r="C49" s="39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</row>
    <row r="50" spans="1:17" ht="13.5" customHeight="1" x14ac:dyDescent="0.35">
      <c r="A50" s="37"/>
      <c r="B50" s="38"/>
      <c r="C50" s="39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</row>
    <row r="51" spans="1:17" ht="13.5" customHeight="1" x14ac:dyDescent="0.35">
      <c r="A51" s="37"/>
      <c r="B51" s="38"/>
      <c r="C51" s="39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</row>
    <row r="52" spans="1:17" ht="13.5" customHeight="1" x14ac:dyDescent="0.35">
      <c r="A52" s="37"/>
      <c r="B52" s="38"/>
      <c r="C52" s="39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</row>
    <row r="53" spans="1:17" ht="13.5" customHeight="1" x14ac:dyDescent="0.35">
      <c r="A53" s="37"/>
      <c r="B53" s="38"/>
      <c r="C53" s="39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</row>
    <row r="54" spans="1:17" ht="13.5" customHeight="1" x14ac:dyDescent="0.35">
      <c r="A54" s="37"/>
      <c r="B54" s="38"/>
      <c r="C54" s="39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</row>
    <row r="55" spans="1:17" ht="13.5" customHeight="1" x14ac:dyDescent="0.35">
      <c r="A55" s="37"/>
      <c r="B55" s="38"/>
      <c r="C55" s="39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</row>
    <row r="56" spans="1:17" ht="13.5" customHeight="1" x14ac:dyDescent="0.35">
      <c r="A56" s="37"/>
      <c r="B56" s="38"/>
      <c r="C56" s="39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</row>
    <row r="57" spans="1:17" ht="13.5" customHeight="1" x14ac:dyDescent="0.35">
      <c r="A57" s="37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</row>
    <row r="58" spans="1:17" ht="13.5" customHeight="1" x14ac:dyDescent="0.35">
      <c r="A58" s="37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</row>
    <row r="59" spans="1:17" ht="13.5" customHeight="1" x14ac:dyDescent="0.35">
      <c r="A59" s="37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</row>
    <row r="60" spans="1:17" ht="13.5" customHeight="1" x14ac:dyDescent="0.35">
      <c r="A60" s="37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</row>
    <row r="61" spans="1:17" ht="13.5" customHeight="1" x14ac:dyDescent="0.35">
      <c r="A61" s="37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</row>
    <row r="62" spans="1:17" ht="13.5" customHeight="1" x14ac:dyDescent="0.35">
      <c r="A62" s="37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</row>
    <row r="63" spans="1:17" ht="13.5" customHeight="1" x14ac:dyDescent="0.35">
      <c r="A63" s="37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</row>
    <row r="64" spans="1:17" ht="13.5" customHeight="1" x14ac:dyDescent="0.35">
      <c r="A64" s="37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</row>
    <row r="65" spans="1:17" ht="13.5" customHeight="1" x14ac:dyDescent="0.35">
      <c r="A65" s="37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</row>
    <row r="66" spans="1:17" ht="13.5" customHeight="1" x14ac:dyDescent="0.35">
      <c r="A66" s="37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</row>
    <row r="67" spans="1:17" ht="13.5" customHeight="1" x14ac:dyDescent="0.35">
      <c r="A67" s="37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</row>
    <row r="68" spans="1:17" ht="13.5" customHeight="1" x14ac:dyDescent="0.35">
      <c r="A68" s="37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</row>
    <row r="69" spans="1:17" ht="13.5" customHeight="1" x14ac:dyDescent="0.35">
      <c r="A69" s="37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</row>
    <row r="70" spans="1:17" ht="13.5" customHeight="1" x14ac:dyDescent="0.35">
      <c r="A70" s="37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</row>
    <row r="71" spans="1:17" ht="13.5" customHeight="1" x14ac:dyDescent="0.35">
      <c r="A71" s="37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</row>
    <row r="72" spans="1:17" ht="13.5" customHeight="1" x14ac:dyDescent="0.35">
      <c r="A72" s="37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</row>
    <row r="73" spans="1:17" ht="13.5" customHeight="1" x14ac:dyDescent="0.35">
      <c r="A73" s="37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</row>
    <row r="74" spans="1:17" ht="13.5" customHeight="1" x14ac:dyDescent="0.35">
      <c r="A74" s="37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</row>
    <row r="75" spans="1:17" ht="13.5" customHeight="1" x14ac:dyDescent="0.35">
      <c r="A75" s="37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</row>
    <row r="76" spans="1:17" ht="13.5" customHeight="1" x14ac:dyDescent="0.35">
      <c r="A76" s="37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</row>
    <row r="77" spans="1:17" ht="13.5" customHeight="1" x14ac:dyDescent="0.35">
      <c r="A77" s="37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</row>
    <row r="78" spans="1:17" ht="13.5" customHeight="1" x14ac:dyDescent="0.35">
      <c r="A78" s="37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</row>
    <row r="79" spans="1:17" ht="13.5" customHeight="1" x14ac:dyDescent="0.35">
      <c r="A79" s="37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</row>
    <row r="80" spans="1:17" ht="13.5" customHeight="1" x14ac:dyDescent="0.35">
      <c r="A80" s="37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</row>
    <row r="81" spans="1:17" ht="13.5" customHeight="1" x14ac:dyDescent="0.35">
      <c r="A81" s="37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</row>
    <row r="82" spans="1:17" ht="13.5" customHeight="1" x14ac:dyDescent="0.35">
      <c r="A82" s="37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</row>
    <row r="83" spans="1:17" ht="13.5" customHeight="1" x14ac:dyDescent="0.35">
      <c r="A83" s="37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</row>
    <row r="84" spans="1:17" ht="13.5" customHeight="1" x14ac:dyDescent="0.35">
      <c r="A84" s="37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</row>
    <row r="85" spans="1:17" ht="13.5" customHeight="1" x14ac:dyDescent="0.35">
      <c r="A85" s="37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</row>
    <row r="86" spans="1:17" ht="13.5" customHeight="1" x14ac:dyDescent="0.35">
      <c r="A86" s="37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</row>
    <row r="87" spans="1:17" ht="13.5" customHeight="1" x14ac:dyDescent="0.35">
      <c r="A87" s="37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</row>
    <row r="88" spans="1:17" ht="13.5" customHeight="1" x14ac:dyDescent="0.35">
      <c r="A88" s="37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</row>
    <row r="89" spans="1:17" ht="13.5" customHeight="1" x14ac:dyDescent="0.35">
      <c r="A89" s="37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</row>
    <row r="90" spans="1:17" ht="13.5" customHeight="1" x14ac:dyDescent="0.35">
      <c r="A90" s="37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</row>
    <row r="91" spans="1:17" ht="13.5" customHeight="1" x14ac:dyDescent="0.35">
      <c r="A91" s="37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</row>
    <row r="92" spans="1:17" ht="13.5" customHeight="1" x14ac:dyDescent="0.35">
      <c r="A92" s="37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</row>
    <row r="93" spans="1:17" ht="13.5" customHeight="1" x14ac:dyDescent="0.35">
      <c r="A93" s="37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</row>
    <row r="94" spans="1:17" ht="13.5" customHeight="1" x14ac:dyDescent="0.35">
      <c r="A94" s="37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</row>
    <row r="95" spans="1:17" ht="13.5" customHeight="1" x14ac:dyDescent="0.35">
      <c r="A95" s="37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</row>
    <row r="96" spans="1:17" ht="13.5" customHeight="1" x14ac:dyDescent="0.35">
      <c r="A96" s="37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</row>
    <row r="97" spans="1:17" ht="13.5" customHeight="1" x14ac:dyDescent="0.35">
      <c r="A97" s="37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</row>
    <row r="98" spans="1:17" ht="13.5" customHeight="1" x14ac:dyDescent="0.35">
      <c r="A98" s="37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</row>
    <row r="99" spans="1:17" ht="13.5" customHeight="1" x14ac:dyDescent="0.35">
      <c r="A99" s="37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</row>
    <row r="100" spans="1:17" ht="13.5" customHeight="1" x14ac:dyDescent="0.35">
      <c r="A100" s="37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</row>
    <row r="101" spans="1:17" ht="13.5" customHeight="1" x14ac:dyDescent="0.35">
      <c r="A101" s="37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</row>
    <row r="102" spans="1:17" ht="13.5" customHeight="1" x14ac:dyDescent="0.35">
      <c r="A102" s="37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</row>
    <row r="103" spans="1:17" ht="13.5" customHeight="1" x14ac:dyDescent="0.35">
      <c r="A103" s="37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</row>
    <row r="104" spans="1:17" ht="13.5" customHeight="1" x14ac:dyDescent="0.35">
      <c r="A104" s="37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</row>
    <row r="105" spans="1:17" ht="13.5" customHeight="1" x14ac:dyDescent="0.35">
      <c r="A105" s="37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</row>
    <row r="106" spans="1:17" ht="13.5" customHeight="1" x14ac:dyDescent="0.35">
      <c r="A106" s="37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</row>
    <row r="107" spans="1:17" ht="13.5" customHeight="1" x14ac:dyDescent="0.35">
      <c r="A107" s="37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</row>
    <row r="108" spans="1:17" ht="13.5" customHeight="1" x14ac:dyDescent="0.35">
      <c r="A108" s="37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</row>
    <row r="109" spans="1:17" ht="13.5" customHeight="1" x14ac:dyDescent="0.35">
      <c r="A109" s="37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</row>
    <row r="110" spans="1:17" ht="13.5" customHeight="1" x14ac:dyDescent="0.35">
      <c r="A110" s="37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</row>
    <row r="111" spans="1:17" ht="13.5" customHeight="1" x14ac:dyDescent="0.35">
      <c r="A111" s="37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</row>
    <row r="112" spans="1:17" ht="13.5" customHeight="1" x14ac:dyDescent="0.35">
      <c r="A112" s="37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</row>
    <row r="113" spans="1:17" ht="13.5" customHeight="1" x14ac:dyDescent="0.35">
      <c r="A113" s="37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</row>
    <row r="114" spans="1:17" ht="13.5" customHeight="1" x14ac:dyDescent="0.35">
      <c r="A114" s="37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</row>
    <row r="115" spans="1:17" ht="15.75" customHeight="1" x14ac:dyDescent="0.35">
      <c r="A115" s="40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</row>
    <row r="116" spans="1:17" ht="15.75" customHeight="1" x14ac:dyDescent="0.35">
      <c r="A116" s="40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</row>
    <row r="117" spans="1:17" ht="15.75" customHeight="1" x14ac:dyDescent="0.35">
      <c r="A117" s="40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</row>
    <row r="118" spans="1:17" ht="15.75" customHeight="1" x14ac:dyDescent="0.35">
      <c r="A118" s="40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</row>
    <row r="119" spans="1:17" ht="15.75" customHeight="1" x14ac:dyDescent="0.35">
      <c r="A119" s="40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</row>
    <row r="120" spans="1:17" ht="15.75" customHeight="1" x14ac:dyDescent="0.35">
      <c r="A120" s="40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</row>
    <row r="121" spans="1:17" ht="15.75" customHeight="1" x14ac:dyDescent="0.35">
      <c r="A121" s="40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</row>
    <row r="122" spans="1:17" ht="15.75" customHeight="1" x14ac:dyDescent="0.35">
      <c r="A122" s="40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</row>
    <row r="123" spans="1:17" ht="15.75" customHeight="1" x14ac:dyDescent="0.35">
      <c r="A123" s="40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</row>
    <row r="124" spans="1:17" ht="15.75" customHeight="1" x14ac:dyDescent="0.35">
      <c r="A124" s="40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</row>
    <row r="125" spans="1:17" ht="15.75" customHeight="1" x14ac:dyDescent="0.35">
      <c r="A125" s="40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</row>
    <row r="126" spans="1:17" ht="15.75" customHeight="1" x14ac:dyDescent="0.35">
      <c r="A126" s="40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</row>
    <row r="127" spans="1:17" ht="15.75" customHeight="1" x14ac:dyDescent="0.35">
      <c r="A127" s="40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</row>
    <row r="128" spans="1:17" ht="15.75" customHeight="1" x14ac:dyDescent="0.35">
      <c r="A128" s="40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</row>
    <row r="129" spans="1:17" ht="15.75" customHeight="1" x14ac:dyDescent="0.35">
      <c r="A129" s="40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</row>
    <row r="130" spans="1:17" ht="15.75" customHeight="1" x14ac:dyDescent="0.35">
      <c r="A130" s="40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</row>
    <row r="131" spans="1:17" ht="15.75" customHeight="1" x14ac:dyDescent="0.35">
      <c r="A131" s="40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</row>
    <row r="132" spans="1:17" ht="15.75" customHeight="1" x14ac:dyDescent="0.35">
      <c r="A132" s="40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</row>
    <row r="133" spans="1:17" ht="15.75" customHeight="1" x14ac:dyDescent="0.35">
      <c r="A133" s="40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</row>
    <row r="134" spans="1:17" ht="15.75" customHeight="1" x14ac:dyDescent="0.35">
      <c r="A134" s="40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</row>
    <row r="135" spans="1:17" ht="15.75" customHeight="1" x14ac:dyDescent="0.35">
      <c r="A135" s="40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</row>
    <row r="136" spans="1:17" ht="15.75" customHeight="1" x14ac:dyDescent="0.35">
      <c r="A136" s="40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</row>
    <row r="137" spans="1:17" ht="15.75" customHeight="1" x14ac:dyDescent="0.35">
      <c r="A137" s="40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</row>
    <row r="138" spans="1:17" ht="15.75" customHeight="1" x14ac:dyDescent="0.35">
      <c r="A138" s="40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</row>
    <row r="139" spans="1:17" ht="15.75" customHeight="1" x14ac:dyDescent="0.35">
      <c r="A139" s="40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</row>
    <row r="140" spans="1:17" ht="15.75" customHeight="1" x14ac:dyDescent="0.35">
      <c r="A140" s="40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</row>
    <row r="141" spans="1:17" ht="15.75" customHeight="1" x14ac:dyDescent="0.35">
      <c r="A141" s="40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</row>
    <row r="142" spans="1:17" ht="15.75" customHeight="1" x14ac:dyDescent="0.35">
      <c r="A142" s="40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</row>
    <row r="143" spans="1:17" ht="15.75" customHeight="1" x14ac:dyDescent="0.35">
      <c r="A143" s="40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</row>
    <row r="144" spans="1:17" ht="15.75" customHeight="1" x14ac:dyDescent="0.35">
      <c r="A144" s="40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</row>
    <row r="145" spans="1:17" ht="15.75" customHeight="1" x14ac:dyDescent="0.35">
      <c r="A145" s="40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</row>
    <row r="146" spans="1:17" ht="15.75" customHeight="1" x14ac:dyDescent="0.35">
      <c r="A146" s="40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</row>
    <row r="147" spans="1:17" ht="15.75" customHeight="1" x14ac:dyDescent="0.35">
      <c r="A147" s="40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</row>
    <row r="148" spans="1:17" ht="15.75" customHeight="1" x14ac:dyDescent="0.35">
      <c r="A148" s="40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</row>
    <row r="149" spans="1:17" ht="15.75" customHeight="1" x14ac:dyDescent="0.35">
      <c r="A149" s="40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</row>
    <row r="150" spans="1:17" ht="15.75" customHeight="1" x14ac:dyDescent="0.35">
      <c r="A150" s="40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</row>
    <row r="151" spans="1:17" ht="15.75" customHeight="1" x14ac:dyDescent="0.35">
      <c r="A151" s="40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</row>
    <row r="152" spans="1:17" ht="15.75" customHeight="1" x14ac:dyDescent="0.35">
      <c r="A152" s="40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</row>
    <row r="153" spans="1:17" ht="15.75" customHeight="1" x14ac:dyDescent="0.35">
      <c r="A153" s="40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</row>
    <row r="154" spans="1:17" ht="15.75" customHeight="1" x14ac:dyDescent="0.35">
      <c r="A154" s="40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</row>
    <row r="155" spans="1:17" ht="15.75" customHeight="1" x14ac:dyDescent="0.35">
      <c r="A155" s="40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</row>
    <row r="156" spans="1:17" ht="15.75" customHeight="1" x14ac:dyDescent="0.35">
      <c r="A156" s="40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</row>
    <row r="157" spans="1:17" ht="15.75" customHeight="1" x14ac:dyDescent="0.35">
      <c r="A157" s="40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</row>
    <row r="158" spans="1:17" ht="15.75" customHeight="1" x14ac:dyDescent="0.35">
      <c r="A158" s="40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</row>
    <row r="159" spans="1:17" ht="15.75" customHeight="1" x14ac:dyDescent="0.35">
      <c r="A159" s="40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</row>
    <row r="160" spans="1:17" ht="15.75" customHeight="1" x14ac:dyDescent="0.35">
      <c r="A160" s="40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</row>
    <row r="161" spans="1:17" ht="15.75" customHeight="1" x14ac:dyDescent="0.35">
      <c r="A161" s="40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</row>
    <row r="162" spans="1:17" ht="15.75" customHeight="1" x14ac:dyDescent="0.35">
      <c r="A162" s="40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</row>
    <row r="163" spans="1:17" ht="15.75" customHeight="1" x14ac:dyDescent="0.35">
      <c r="A163" s="40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</row>
    <row r="164" spans="1:17" ht="15.75" customHeight="1" x14ac:dyDescent="0.35">
      <c r="A164" s="40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</row>
    <row r="165" spans="1:17" ht="15.75" customHeight="1" x14ac:dyDescent="0.35">
      <c r="A165" s="40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</row>
    <row r="166" spans="1:17" ht="15.75" customHeight="1" x14ac:dyDescent="0.35">
      <c r="A166" s="40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</row>
    <row r="167" spans="1:17" ht="15.75" customHeight="1" x14ac:dyDescent="0.35">
      <c r="A167" s="40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</row>
    <row r="168" spans="1:17" ht="15.75" customHeight="1" x14ac:dyDescent="0.35">
      <c r="A168" s="40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</row>
    <row r="169" spans="1:17" ht="15.75" customHeight="1" x14ac:dyDescent="0.35">
      <c r="A169" s="40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</row>
    <row r="170" spans="1:17" ht="15.75" customHeight="1" x14ac:dyDescent="0.35">
      <c r="A170" s="40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</row>
    <row r="171" spans="1:17" ht="15.75" customHeight="1" x14ac:dyDescent="0.35">
      <c r="A171" s="40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</row>
    <row r="172" spans="1:17" ht="15.75" customHeight="1" x14ac:dyDescent="0.35">
      <c r="A172" s="40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</row>
    <row r="173" spans="1:17" ht="15.75" customHeight="1" x14ac:dyDescent="0.35">
      <c r="A173" s="40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</row>
    <row r="174" spans="1:17" ht="15.75" customHeight="1" x14ac:dyDescent="0.35">
      <c r="A174" s="40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</row>
    <row r="175" spans="1:17" ht="15.75" customHeight="1" x14ac:dyDescent="0.35">
      <c r="A175" s="40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</row>
    <row r="176" spans="1:17" ht="15.75" customHeight="1" x14ac:dyDescent="0.35">
      <c r="A176" s="40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</row>
    <row r="177" spans="1:17" ht="15.75" customHeight="1" x14ac:dyDescent="0.35">
      <c r="A177" s="40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</row>
    <row r="178" spans="1:17" ht="15.75" customHeight="1" x14ac:dyDescent="0.35">
      <c r="A178" s="40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</row>
    <row r="179" spans="1:17" ht="15.75" customHeight="1" x14ac:dyDescent="0.35">
      <c r="A179" s="40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</row>
    <row r="180" spans="1:17" ht="15.75" customHeight="1" x14ac:dyDescent="0.35">
      <c r="A180" s="40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</row>
    <row r="181" spans="1:17" ht="15.75" customHeight="1" x14ac:dyDescent="0.35">
      <c r="A181" s="40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</row>
    <row r="182" spans="1:17" ht="15.75" customHeight="1" x14ac:dyDescent="0.35">
      <c r="A182" s="40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</row>
    <row r="183" spans="1:17" ht="15.75" customHeight="1" x14ac:dyDescent="0.35">
      <c r="A183" s="40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</row>
    <row r="184" spans="1:17" ht="15.75" customHeight="1" x14ac:dyDescent="0.35">
      <c r="A184" s="40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</row>
    <row r="185" spans="1:17" ht="15.75" customHeight="1" x14ac:dyDescent="0.35">
      <c r="A185" s="40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</row>
    <row r="186" spans="1:17" ht="15.75" customHeight="1" x14ac:dyDescent="0.35">
      <c r="A186" s="40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</row>
    <row r="187" spans="1:17" ht="15.75" customHeight="1" x14ac:dyDescent="0.35">
      <c r="A187" s="40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</row>
    <row r="188" spans="1:17" ht="15.75" customHeight="1" x14ac:dyDescent="0.35">
      <c r="A188" s="40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</row>
    <row r="189" spans="1:17" ht="15.75" customHeight="1" x14ac:dyDescent="0.35">
      <c r="A189" s="40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</row>
    <row r="190" spans="1:17" ht="15.75" customHeight="1" x14ac:dyDescent="0.35">
      <c r="A190" s="40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</row>
    <row r="191" spans="1:17" ht="15.75" customHeight="1" x14ac:dyDescent="0.35">
      <c r="A191" s="40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</row>
    <row r="192" spans="1:17" ht="15.75" customHeight="1" x14ac:dyDescent="0.35">
      <c r="A192" s="40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</row>
    <row r="193" spans="1:17" ht="15.75" customHeight="1" x14ac:dyDescent="0.35">
      <c r="A193" s="40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</row>
    <row r="194" spans="1:17" ht="15.75" customHeight="1" x14ac:dyDescent="0.35">
      <c r="A194" s="40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</row>
    <row r="195" spans="1:17" ht="15.75" customHeight="1" x14ac:dyDescent="0.35">
      <c r="A195" s="40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</row>
    <row r="196" spans="1:17" ht="15.75" customHeight="1" x14ac:dyDescent="0.35">
      <c r="A196" s="40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</row>
    <row r="197" spans="1:17" ht="15.75" customHeight="1" x14ac:dyDescent="0.35">
      <c r="A197" s="40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</row>
    <row r="198" spans="1:17" ht="15.75" customHeight="1" x14ac:dyDescent="0.35">
      <c r="A198" s="40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</row>
    <row r="199" spans="1:17" ht="15.75" customHeight="1" x14ac:dyDescent="0.35">
      <c r="A199" s="40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</row>
    <row r="200" spans="1:17" ht="15.75" customHeight="1" x14ac:dyDescent="0.35">
      <c r="A200" s="40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</row>
    <row r="201" spans="1:17" ht="15.75" customHeight="1" x14ac:dyDescent="0.35">
      <c r="A201" s="40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</row>
    <row r="202" spans="1:17" ht="15.75" customHeight="1" x14ac:dyDescent="0.35">
      <c r="A202" s="40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</row>
    <row r="203" spans="1:17" ht="15.75" customHeight="1" x14ac:dyDescent="0.35">
      <c r="A203" s="40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</row>
    <row r="204" spans="1:17" ht="15.75" customHeight="1" x14ac:dyDescent="0.35">
      <c r="A204" s="40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</row>
    <row r="205" spans="1:17" ht="15.75" customHeight="1" x14ac:dyDescent="0.35">
      <c r="A205" s="40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</row>
    <row r="206" spans="1:17" ht="15.75" customHeight="1" x14ac:dyDescent="0.35">
      <c r="A206" s="40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</row>
    <row r="207" spans="1:17" ht="15.75" customHeight="1" x14ac:dyDescent="0.35">
      <c r="A207" s="40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</row>
    <row r="208" spans="1:17" ht="15.75" customHeight="1" x14ac:dyDescent="0.35">
      <c r="A208" s="40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</row>
    <row r="209" spans="1:17" ht="15.75" customHeight="1" x14ac:dyDescent="0.35">
      <c r="A209" s="40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</row>
    <row r="210" spans="1:17" ht="15.75" customHeight="1" x14ac:dyDescent="0.35">
      <c r="A210" s="40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</row>
    <row r="211" spans="1:17" ht="15.75" customHeight="1" x14ac:dyDescent="0.35">
      <c r="A211" s="40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</row>
    <row r="212" spans="1:17" ht="15.75" customHeight="1" x14ac:dyDescent="0.35">
      <c r="A212" s="40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</row>
    <row r="213" spans="1:17" ht="15.75" customHeight="1" x14ac:dyDescent="0.35">
      <c r="A213" s="40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</row>
    <row r="214" spans="1:17" ht="15.75" customHeight="1" x14ac:dyDescent="0.35">
      <c r="A214" s="40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</row>
    <row r="215" spans="1:17" ht="15.75" customHeight="1" x14ac:dyDescent="0.35">
      <c r="A215" s="40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</row>
    <row r="216" spans="1:17" ht="15.75" customHeight="1" x14ac:dyDescent="0.35">
      <c r="A216" s="40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</row>
    <row r="217" spans="1:17" ht="15.75" customHeight="1" x14ac:dyDescent="0.35">
      <c r="A217" s="40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</row>
    <row r="218" spans="1:17" ht="15.75" customHeight="1" x14ac:dyDescent="0.35">
      <c r="A218" s="40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</row>
    <row r="219" spans="1:17" ht="15.75" customHeight="1" x14ac:dyDescent="0.35">
      <c r="A219" s="40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</row>
    <row r="220" spans="1:17" ht="15.75" customHeight="1" x14ac:dyDescent="0.35">
      <c r="A220" s="40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</row>
    <row r="221" spans="1:17" ht="15.75" customHeight="1" x14ac:dyDescent="0.35">
      <c r="A221" s="40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</row>
    <row r="222" spans="1:17" ht="15.75" customHeight="1" x14ac:dyDescent="0.35">
      <c r="A222" s="40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</row>
    <row r="223" spans="1:17" ht="15.75" customHeight="1" x14ac:dyDescent="0.35">
      <c r="A223" s="40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</row>
    <row r="224" spans="1:17" ht="15.75" customHeight="1" x14ac:dyDescent="0.35">
      <c r="A224" s="40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</row>
    <row r="225" spans="1:17" ht="15.75" customHeight="1" x14ac:dyDescent="0.35">
      <c r="A225" s="40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</row>
    <row r="226" spans="1:17" ht="15.75" customHeight="1" x14ac:dyDescent="0.35">
      <c r="A226" s="40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</row>
    <row r="227" spans="1:17" ht="15.75" customHeight="1" x14ac:dyDescent="0.35">
      <c r="A227" s="40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</row>
    <row r="228" spans="1:17" ht="15.75" customHeight="1" x14ac:dyDescent="0.35">
      <c r="A228" s="40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</row>
    <row r="229" spans="1:17" ht="15.75" customHeight="1" x14ac:dyDescent="0.35">
      <c r="A229" s="40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</row>
    <row r="230" spans="1:17" ht="15.75" customHeight="1" x14ac:dyDescent="0.35">
      <c r="A230" s="40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</row>
    <row r="231" spans="1:17" ht="15.75" customHeight="1" x14ac:dyDescent="0.35">
      <c r="A231" s="40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</row>
    <row r="232" spans="1:17" ht="15.75" customHeight="1" x14ac:dyDescent="0.35">
      <c r="A232" s="40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</row>
    <row r="233" spans="1:17" ht="15.75" customHeight="1" x14ac:dyDescent="0.35">
      <c r="A233" s="40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</row>
    <row r="234" spans="1:17" ht="15.75" customHeight="1" x14ac:dyDescent="0.35">
      <c r="A234" s="40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</row>
    <row r="235" spans="1:17" ht="15.75" customHeight="1" x14ac:dyDescent="0.35">
      <c r="A235" s="40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</row>
    <row r="236" spans="1:17" ht="15.75" customHeight="1" x14ac:dyDescent="0.35">
      <c r="A236" s="40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</row>
    <row r="237" spans="1:17" ht="15.75" customHeight="1" x14ac:dyDescent="0.35">
      <c r="A237" s="40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</row>
    <row r="238" spans="1:17" ht="15.75" customHeight="1" x14ac:dyDescent="0.35">
      <c r="A238" s="40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</row>
    <row r="239" spans="1:17" ht="15.75" customHeight="1" x14ac:dyDescent="0.35">
      <c r="A239" s="40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</row>
    <row r="240" spans="1:17" ht="15.75" customHeight="1" x14ac:dyDescent="0.35">
      <c r="A240" s="40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</row>
    <row r="241" spans="1:17" ht="15.75" customHeight="1" x14ac:dyDescent="0.35">
      <c r="A241" s="40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</row>
    <row r="242" spans="1:17" ht="15.75" customHeight="1" x14ac:dyDescent="0.35">
      <c r="A242" s="40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</row>
    <row r="243" spans="1:17" ht="15.75" customHeight="1" x14ac:dyDescent="0.35">
      <c r="A243" s="40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</row>
    <row r="244" spans="1:17" ht="15.75" customHeight="1" x14ac:dyDescent="0.35">
      <c r="A244" s="40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</row>
    <row r="245" spans="1:17" ht="15.75" customHeight="1" x14ac:dyDescent="0.35">
      <c r="A245" s="40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</row>
    <row r="246" spans="1:17" ht="15.75" customHeight="1" x14ac:dyDescent="0.35">
      <c r="A246" s="40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</row>
    <row r="247" spans="1:17" ht="15.75" customHeight="1" x14ac:dyDescent="0.35">
      <c r="A247" s="40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</row>
    <row r="248" spans="1:17" ht="15.75" customHeight="1" x14ac:dyDescent="0.35">
      <c r="A248" s="40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</row>
    <row r="249" spans="1:17" ht="15.75" customHeight="1" x14ac:dyDescent="0.35">
      <c r="A249" s="40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</row>
    <row r="250" spans="1:17" ht="15.75" customHeight="1" x14ac:dyDescent="0.35">
      <c r="A250" s="40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</row>
    <row r="251" spans="1:17" ht="15.75" customHeight="1" x14ac:dyDescent="0.35">
      <c r="A251" s="40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</row>
    <row r="252" spans="1:17" ht="15.75" customHeight="1" x14ac:dyDescent="0.35">
      <c r="A252" s="40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</row>
    <row r="253" spans="1:17" ht="15.75" customHeight="1" x14ac:dyDescent="0.35">
      <c r="A253" s="40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</row>
    <row r="254" spans="1:17" ht="15.75" customHeight="1" x14ac:dyDescent="0.35">
      <c r="A254" s="40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</row>
    <row r="255" spans="1:17" ht="15.75" customHeight="1" x14ac:dyDescent="0.35">
      <c r="A255" s="40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</row>
    <row r="256" spans="1:17" ht="15.75" customHeight="1" x14ac:dyDescent="0.35">
      <c r="A256" s="40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</row>
    <row r="257" spans="1:17" ht="15.75" customHeight="1" x14ac:dyDescent="0.35">
      <c r="A257" s="40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</row>
    <row r="258" spans="1:17" ht="15.75" customHeight="1" x14ac:dyDescent="0.35">
      <c r="A258" s="40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</row>
    <row r="259" spans="1:17" ht="15.75" customHeight="1" x14ac:dyDescent="0.35">
      <c r="A259" s="40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</row>
    <row r="260" spans="1:17" ht="15.75" customHeight="1" x14ac:dyDescent="0.35">
      <c r="A260" s="40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</row>
    <row r="261" spans="1:17" ht="15.75" customHeight="1" x14ac:dyDescent="0.35">
      <c r="A261" s="40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</row>
    <row r="262" spans="1:17" ht="15.75" customHeight="1" x14ac:dyDescent="0.35">
      <c r="A262" s="40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</row>
    <row r="263" spans="1:17" ht="15.75" customHeight="1" x14ac:dyDescent="0.35">
      <c r="A263" s="40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</row>
    <row r="264" spans="1:17" ht="15.75" customHeight="1" x14ac:dyDescent="0.35">
      <c r="A264" s="40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</row>
    <row r="265" spans="1:17" ht="15.75" customHeight="1" x14ac:dyDescent="0.35">
      <c r="A265" s="40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</row>
    <row r="266" spans="1:17" ht="15.75" customHeight="1" x14ac:dyDescent="0.35">
      <c r="A266" s="40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</row>
    <row r="267" spans="1:17" ht="15.75" customHeight="1" x14ac:dyDescent="0.35">
      <c r="A267" s="40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</row>
    <row r="268" spans="1:17" ht="15.75" customHeight="1" x14ac:dyDescent="0.35">
      <c r="A268" s="40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</row>
    <row r="269" spans="1:17" ht="15.75" customHeight="1" x14ac:dyDescent="0.35">
      <c r="A269" s="40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</row>
    <row r="270" spans="1:17" ht="15.75" customHeight="1" x14ac:dyDescent="0.35">
      <c r="A270" s="40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</row>
    <row r="271" spans="1:17" ht="15.75" customHeight="1" x14ac:dyDescent="0.35">
      <c r="A271" s="40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</row>
    <row r="272" spans="1:17" ht="15.75" customHeight="1" x14ac:dyDescent="0.35">
      <c r="A272" s="40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</row>
    <row r="273" spans="1:17" ht="15.75" customHeight="1" x14ac:dyDescent="0.35">
      <c r="A273" s="40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</row>
    <row r="274" spans="1:17" ht="15.75" customHeight="1" x14ac:dyDescent="0.35">
      <c r="A274" s="40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</row>
    <row r="275" spans="1:17" ht="15.75" customHeight="1" x14ac:dyDescent="0.35">
      <c r="A275" s="40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</row>
    <row r="276" spans="1:17" ht="15.75" customHeight="1" x14ac:dyDescent="0.35">
      <c r="A276" s="40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</row>
    <row r="277" spans="1:17" ht="15.75" customHeight="1" x14ac:dyDescent="0.35">
      <c r="A277" s="40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</row>
    <row r="278" spans="1:17" ht="15.75" customHeight="1" x14ac:dyDescent="0.35">
      <c r="A278" s="40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</row>
    <row r="279" spans="1:17" ht="15.75" customHeight="1" x14ac:dyDescent="0.35">
      <c r="A279" s="40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</row>
    <row r="280" spans="1:17" ht="15.75" customHeight="1" x14ac:dyDescent="0.35">
      <c r="A280" s="40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</row>
    <row r="281" spans="1:17" ht="15.75" customHeight="1" x14ac:dyDescent="0.35">
      <c r="A281" s="40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</row>
    <row r="282" spans="1:17" ht="15.75" customHeight="1" x14ac:dyDescent="0.35">
      <c r="A282" s="40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</row>
    <row r="283" spans="1:17" ht="15.75" customHeight="1" x14ac:dyDescent="0.35">
      <c r="A283" s="40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</row>
    <row r="284" spans="1:17" ht="15.75" customHeight="1" x14ac:dyDescent="0.35">
      <c r="A284" s="40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</row>
    <row r="285" spans="1:17" ht="15.75" customHeight="1" x14ac:dyDescent="0.35">
      <c r="A285" s="40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</row>
    <row r="286" spans="1:17" ht="15.75" customHeight="1" x14ac:dyDescent="0.35">
      <c r="A286" s="40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</row>
    <row r="287" spans="1:17" ht="15.75" customHeight="1" x14ac:dyDescent="0.35">
      <c r="A287" s="40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</row>
    <row r="288" spans="1:17" ht="15.75" customHeight="1" x14ac:dyDescent="0.35">
      <c r="A288" s="40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</row>
    <row r="289" spans="1:17" ht="15.75" customHeight="1" x14ac:dyDescent="0.35">
      <c r="A289" s="40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</row>
    <row r="290" spans="1:17" ht="15.75" customHeight="1" x14ac:dyDescent="0.35">
      <c r="A290" s="40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</row>
    <row r="291" spans="1:17" ht="15.75" customHeight="1" x14ac:dyDescent="0.35">
      <c r="A291" s="40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</row>
    <row r="292" spans="1:17" ht="15.75" customHeight="1" x14ac:dyDescent="0.35">
      <c r="A292" s="40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</row>
    <row r="293" spans="1:17" ht="15.75" customHeight="1" x14ac:dyDescent="0.35">
      <c r="A293" s="40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</row>
    <row r="294" spans="1:17" ht="15.75" customHeight="1" x14ac:dyDescent="0.35">
      <c r="A294" s="40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</row>
    <row r="295" spans="1:17" ht="15.75" customHeight="1" x14ac:dyDescent="0.35">
      <c r="A295" s="40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</row>
    <row r="296" spans="1:17" ht="15.75" customHeight="1" x14ac:dyDescent="0.35">
      <c r="A296" s="40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</row>
    <row r="297" spans="1:17" ht="15.75" customHeight="1" x14ac:dyDescent="0.35">
      <c r="A297" s="40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</row>
    <row r="298" spans="1:17" ht="15.75" customHeight="1" x14ac:dyDescent="0.35">
      <c r="A298" s="40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</row>
    <row r="299" spans="1:17" ht="15.75" customHeight="1" x14ac:dyDescent="0.35">
      <c r="A299" s="40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</row>
    <row r="300" spans="1:17" ht="15.75" customHeight="1" x14ac:dyDescent="0.35">
      <c r="A300" s="40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</row>
    <row r="301" spans="1:17" ht="15.75" customHeight="1" x14ac:dyDescent="0.35">
      <c r="A301" s="40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</row>
    <row r="302" spans="1:17" ht="15.75" customHeight="1" x14ac:dyDescent="0.35">
      <c r="A302" s="40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</row>
    <row r="303" spans="1:17" ht="15.75" customHeight="1" x14ac:dyDescent="0.35">
      <c r="A303" s="40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</row>
    <row r="304" spans="1:17" ht="15.75" customHeight="1" x14ac:dyDescent="0.35">
      <c r="A304" s="40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</row>
    <row r="305" spans="1:17" ht="15.75" customHeight="1" x14ac:dyDescent="0.35">
      <c r="A305" s="40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</row>
    <row r="306" spans="1:17" ht="15.75" customHeight="1" x14ac:dyDescent="0.35">
      <c r="A306" s="40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</row>
    <row r="307" spans="1:17" ht="15.75" customHeight="1" x14ac:dyDescent="0.35">
      <c r="A307" s="40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</row>
    <row r="308" spans="1:17" ht="15.75" customHeight="1" x14ac:dyDescent="0.35">
      <c r="A308" s="40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</row>
    <row r="309" spans="1:17" ht="15.75" customHeight="1" x14ac:dyDescent="0.35">
      <c r="A309" s="40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</row>
    <row r="310" spans="1:17" ht="15.75" customHeight="1" x14ac:dyDescent="0.35">
      <c r="A310" s="40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</row>
    <row r="311" spans="1:17" ht="15.75" customHeight="1" x14ac:dyDescent="0.35">
      <c r="A311" s="40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</row>
    <row r="312" spans="1:17" ht="15.75" customHeight="1" x14ac:dyDescent="0.35">
      <c r="A312" s="40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</row>
    <row r="313" spans="1:17" ht="15.75" customHeight="1" x14ac:dyDescent="0.35">
      <c r="A313" s="40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</row>
    <row r="314" spans="1:17" ht="15.75" customHeight="1" x14ac:dyDescent="0.35">
      <c r="A314" s="40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</row>
    <row r="315" spans="1:17" ht="15.75" customHeight="1" x14ac:dyDescent="0.35">
      <c r="A315" s="40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</row>
    <row r="316" spans="1:17" ht="15.75" customHeight="1" x14ac:dyDescent="0.35">
      <c r="A316" s="40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</row>
    <row r="317" spans="1:17" ht="15.75" customHeight="1" x14ac:dyDescent="0.35">
      <c r="A317" s="40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</row>
    <row r="318" spans="1:17" ht="15.75" customHeight="1" x14ac:dyDescent="0.35">
      <c r="A318" s="40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</row>
    <row r="319" spans="1:17" ht="15.75" customHeight="1" x14ac:dyDescent="0.35">
      <c r="A319" s="40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</row>
    <row r="320" spans="1:17" ht="15.75" customHeight="1" x14ac:dyDescent="0.35">
      <c r="A320" s="40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</row>
    <row r="321" spans="1:17" ht="15.75" customHeight="1" x14ac:dyDescent="0.35">
      <c r="A321" s="40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</row>
    <row r="322" spans="1:17" ht="15.75" customHeight="1" x14ac:dyDescent="0.35">
      <c r="A322" s="40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</row>
    <row r="323" spans="1:17" ht="15.75" customHeight="1" x14ac:dyDescent="0.35">
      <c r="A323" s="40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</row>
    <row r="324" spans="1:17" ht="15.75" customHeight="1" x14ac:dyDescent="0.35">
      <c r="A324" s="40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</row>
    <row r="325" spans="1:17" ht="15.75" customHeight="1" x14ac:dyDescent="0.35">
      <c r="A325" s="40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</row>
    <row r="326" spans="1:17" ht="15.75" customHeight="1" x14ac:dyDescent="0.35">
      <c r="A326" s="40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</row>
    <row r="327" spans="1:17" ht="15.75" customHeight="1" x14ac:dyDescent="0.35">
      <c r="A327" s="40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</row>
    <row r="328" spans="1:17" ht="15.75" customHeight="1" x14ac:dyDescent="0.35">
      <c r="A328" s="40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</row>
    <row r="329" spans="1:17" ht="15.75" customHeight="1" x14ac:dyDescent="0.35">
      <c r="A329" s="40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</row>
    <row r="330" spans="1:17" ht="15.75" customHeight="1" x14ac:dyDescent="0.35">
      <c r="A330" s="40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</row>
    <row r="331" spans="1:17" ht="15.75" customHeight="1" x14ac:dyDescent="0.35">
      <c r="A331" s="40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</row>
    <row r="332" spans="1:17" ht="15.75" customHeight="1" x14ac:dyDescent="0.35">
      <c r="A332" s="40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</row>
    <row r="333" spans="1:17" ht="15.75" customHeight="1" x14ac:dyDescent="0.35">
      <c r="A333" s="40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</row>
    <row r="334" spans="1:17" ht="15.75" customHeight="1" x14ac:dyDescent="0.35">
      <c r="A334" s="40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</row>
    <row r="335" spans="1:17" ht="15.75" customHeight="1" x14ac:dyDescent="0.35">
      <c r="A335" s="40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</row>
    <row r="336" spans="1:17" ht="15.75" customHeight="1" x14ac:dyDescent="0.35">
      <c r="A336" s="40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</row>
    <row r="337" spans="1:17" ht="15.75" customHeight="1" x14ac:dyDescent="0.35">
      <c r="A337" s="40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</row>
    <row r="338" spans="1:17" ht="15.75" customHeight="1" x14ac:dyDescent="0.35">
      <c r="A338" s="40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</row>
    <row r="339" spans="1:17" ht="15.75" customHeight="1" x14ac:dyDescent="0.35">
      <c r="A339" s="40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</row>
    <row r="340" spans="1:17" ht="15.75" customHeight="1" x14ac:dyDescent="0.35">
      <c r="A340" s="40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</row>
    <row r="341" spans="1:17" ht="15.75" customHeight="1" x14ac:dyDescent="0.35">
      <c r="A341" s="40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</row>
    <row r="342" spans="1:17" ht="15.75" customHeight="1" x14ac:dyDescent="0.35">
      <c r="A342" s="40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</row>
    <row r="343" spans="1:17" ht="15.75" customHeight="1" x14ac:dyDescent="0.35">
      <c r="A343" s="40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</row>
    <row r="344" spans="1:17" ht="15.75" customHeight="1" x14ac:dyDescent="0.35">
      <c r="A344" s="40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</row>
    <row r="345" spans="1:17" ht="15.75" customHeight="1" x14ac:dyDescent="0.35">
      <c r="A345" s="40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</row>
    <row r="346" spans="1:17" ht="15.75" customHeight="1" x14ac:dyDescent="0.35">
      <c r="A346" s="40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</row>
    <row r="347" spans="1:17" ht="15.75" customHeight="1" x14ac:dyDescent="0.35">
      <c r="A347" s="40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</row>
    <row r="348" spans="1:17" ht="15.75" customHeight="1" x14ac:dyDescent="0.35">
      <c r="A348" s="40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</row>
    <row r="349" spans="1:17" ht="15.75" customHeight="1" x14ac:dyDescent="0.35">
      <c r="A349" s="40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</row>
    <row r="350" spans="1:17" ht="15.75" customHeight="1" x14ac:dyDescent="0.35">
      <c r="A350" s="40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</row>
    <row r="351" spans="1:17" ht="15.75" customHeight="1" x14ac:dyDescent="0.35">
      <c r="A351" s="40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</row>
    <row r="352" spans="1:17" ht="15.75" customHeight="1" x14ac:dyDescent="0.35">
      <c r="A352" s="40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</row>
    <row r="353" spans="1:17" ht="15.75" customHeight="1" x14ac:dyDescent="0.35">
      <c r="A353" s="40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</row>
    <row r="354" spans="1:17" ht="15.75" customHeight="1" x14ac:dyDescent="0.35">
      <c r="A354" s="40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</row>
    <row r="355" spans="1:17" ht="15.75" customHeight="1" x14ac:dyDescent="0.35">
      <c r="A355" s="40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</row>
    <row r="356" spans="1:17" ht="15.75" customHeight="1" x14ac:dyDescent="0.35">
      <c r="A356" s="40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</row>
    <row r="357" spans="1:17" ht="15.75" customHeight="1" x14ac:dyDescent="0.35">
      <c r="A357" s="40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</row>
    <row r="358" spans="1:17" ht="15.75" customHeight="1" x14ac:dyDescent="0.35">
      <c r="A358" s="40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</row>
    <row r="359" spans="1:17" ht="15.75" customHeight="1" x14ac:dyDescent="0.35">
      <c r="A359" s="40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</row>
    <row r="360" spans="1:17" ht="15.75" customHeight="1" x14ac:dyDescent="0.35">
      <c r="A360" s="40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</row>
    <row r="361" spans="1:17" ht="15.75" customHeight="1" x14ac:dyDescent="0.35">
      <c r="A361" s="40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</row>
    <row r="362" spans="1:17" ht="15.75" customHeight="1" x14ac:dyDescent="0.35">
      <c r="A362" s="40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</row>
    <row r="363" spans="1:17" ht="15.75" customHeight="1" x14ac:dyDescent="0.35">
      <c r="A363" s="40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</row>
    <row r="364" spans="1:17" ht="15.75" customHeight="1" x14ac:dyDescent="0.35">
      <c r="A364" s="40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</row>
    <row r="365" spans="1:17" ht="15.75" customHeight="1" x14ac:dyDescent="0.35">
      <c r="A365" s="40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</row>
    <row r="366" spans="1:17" ht="15.75" customHeight="1" x14ac:dyDescent="0.35">
      <c r="A366" s="40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</row>
    <row r="367" spans="1:17" ht="15.75" customHeight="1" x14ac:dyDescent="0.35">
      <c r="A367" s="40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</row>
    <row r="368" spans="1:17" ht="15.75" customHeight="1" x14ac:dyDescent="0.35">
      <c r="A368" s="40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</row>
    <row r="369" spans="1:17" ht="15.75" customHeight="1" x14ac:dyDescent="0.35">
      <c r="A369" s="40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</row>
    <row r="370" spans="1:17" ht="15.75" customHeight="1" x14ac:dyDescent="0.35">
      <c r="A370" s="40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</row>
    <row r="371" spans="1:17" ht="15.75" customHeight="1" x14ac:dyDescent="0.35">
      <c r="A371" s="40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</row>
    <row r="372" spans="1:17" ht="15.75" customHeight="1" x14ac:dyDescent="0.35">
      <c r="A372" s="40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</row>
    <row r="373" spans="1:17" ht="15.75" customHeight="1" x14ac:dyDescent="0.35">
      <c r="A373" s="40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</row>
    <row r="374" spans="1:17" ht="15.75" customHeight="1" x14ac:dyDescent="0.35">
      <c r="A374" s="40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</row>
    <row r="375" spans="1:17" ht="15.75" customHeight="1" x14ac:dyDescent="0.35">
      <c r="A375" s="40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</row>
    <row r="376" spans="1:17" ht="15.75" customHeight="1" x14ac:dyDescent="0.35">
      <c r="A376" s="40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</row>
    <row r="377" spans="1:17" ht="15.75" customHeight="1" x14ac:dyDescent="0.35">
      <c r="A377" s="40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</row>
    <row r="378" spans="1:17" ht="15.75" customHeight="1" x14ac:dyDescent="0.35">
      <c r="A378" s="40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</row>
    <row r="379" spans="1:17" ht="15.75" customHeight="1" x14ac:dyDescent="0.35">
      <c r="A379" s="40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</row>
    <row r="380" spans="1:17" ht="15.75" customHeight="1" x14ac:dyDescent="0.35">
      <c r="A380" s="40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</row>
    <row r="381" spans="1:17" ht="15.75" customHeight="1" x14ac:dyDescent="0.35">
      <c r="A381" s="40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</row>
    <row r="382" spans="1:17" ht="15.75" customHeight="1" x14ac:dyDescent="0.35">
      <c r="A382" s="40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</row>
    <row r="383" spans="1:17" ht="15.75" customHeight="1" x14ac:dyDescent="0.35">
      <c r="A383" s="40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</row>
    <row r="384" spans="1:17" ht="15.75" customHeight="1" x14ac:dyDescent="0.35">
      <c r="A384" s="40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</row>
    <row r="385" spans="1:17" ht="15.75" customHeight="1" x14ac:dyDescent="0.35">
      <c r="A385" s="40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</row>
    <row r="386" spans="1:17" ht="15.75" customHeight="1" x14ac:dyDescent="0.35">
      <c r="A386" s="40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</row>
    <row r="387" spans="1:17" ht="15.75" customHeight="1" x14ac:dyDescent="0.35">
      <c r="A387" s="40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</row>
    <row r="388" spans="1:17" ht="15.75" customHeight="1" x14ac:dyDescent="0.35">
      <c r="A388" s="40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</row>
    <row r="389" spans="1:17" ht="15.75" customHeight="1" x14ac:dyDescent="0.35">
      <c r="A389" s="40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</row>
    <row r="390" spans="1:17" ht="15.75" customHeight="1" x14ac:dyDescent="0.35">
      <c r="A390" s="40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</row>
    <row r="391" spans="1:17" ht="15.75" customHeight="1" x14ac:dyDescent="0.35">
      <c r="A391" s="40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</row>
    <row r="392" spans="1:17" ht="15.75" customHeight="1" x14ac:dyDescent="0.35">
      <c r="A392" s="40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</row>
    <row r="393" spans="1:17" ht="15.75" customHeight="1" x14ac:dyDescent="0.35">
      <c r="A393" s="40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</row>
    <row r="394" spans="1:17" ht="15.75" customHeight="1" x14ac:dyDescent="0.35">
      <c r="A394" s="40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</row>
    <row r="395" spans="1:17" ht="15.75" customHeight="1" x14ac:dyDescent="0.35">
      <c r="A395" s="40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</row>
    <row r="396" spans="1:17" ht="15.75" customHeight="1" x14ac:dyDescent="0.35">
      <c r="A396" s="40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</row>
    <row r="397" spans="1:17" ht="15.75" customHeight="1" x14ac:dyDescent="0.35">
      <c r="A397" s="40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</row>
    <row r="398" spans="1:17" ht="15.75" customHeight="1" x14ac:dyDescent="0.35">
      <c r="A398" s="40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</row>
    <row r="399" spans="1:17" ht="15.75" customHeight="1" x14ac:dyDescent="0.35">
      <c r="A399" s="40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</row>
    <row r="400" spans="1:17" ht="15.75" customHeight="1" x14ac:dyDescent="0.35">
      <c r="A400" s="40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</row>
    <row r="401" spans="1:17" ht="15.75" customHeight="1" x14ac:dyDescent="0.35">
      <c r="A401" s="40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</row>
    <row r="402" spans="1:17" ht="15.75" customHeight="1" x14ac:dyDescent="0.35">
      <c r="A402" s="40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</row>
    <row r="403" spans="1:17" ht="15.75" customHeight="1" x14ac:dyDescent="0.35">
      <c r="A403" s="40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</row>
    <row r="404" spans="1:17" ht="15.75" customHeight="1" x14ac:dyDescent="0.35">
      <c r="A404" s="40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</row>
    <row r="405" spans="1:17" ht="15.75" customHeight="1" x14ac:dyDescent="0.35">
      <c r="A405" s="40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</row>
    <row r="406" spans="1:17" ht="15.75" customHeight="1" x14ac:dyDescent="0.35">
      <c r="A406" s="40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</row>
    <row r="407" spans="1:17" ht="15.75" customHeight="1" x14ac:dyDescent="0.35">
      <c r="A407" s="40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</row>
    <row r="408" spans="1:17" ht="15.75" customHeight="1" x14ac:dyDescent="0.35">
      <c r="A408" s="40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</row>
    <row r="409" spans="1:17" ht="15.75" customHeight="1" x14ac:dyDescent="0.35">
      <c r="A409" s="40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</row>
    <row r="410" spans="1:17" ht="15.75" customHeight="1" x14ac:dyDescent="0.35">
      <c r="A410" s="40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</row>
    <row r="411" spans="1:17" ht="15.75" customHeight="1" x14ac:dyDescent="0.35">
      <c r="A411" s="40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</row>
    <row r="412" spans="1:17" ht="15.75" customHeight="1" x14ac:dyDescent="0.35">
      <c r="A412" s="40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</row>
    <row r="413" spans="1:17" ht="15.75" customHeight="1" x14ac:dyDescent="0.35">
      <c r="A413" s="40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</row>
    <row r="414" spans="1:17" ht="15.75" customHeight="1" x14ac:dyDescent="0.35">
      <c r="A414" s="40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</row>
    <row r="415" spans="1:17" ht="15.75" customHeight="1" x14ac:dyDescent="0.35">
      <c r="A415" s="40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</row>
    <row r="416" spans="1:17" ht="15.75" customHeight="1" x14ac:dyDescent="0.35">
      <c r="A416" s="40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</row>
    <row r="417" spans="1:17" ht="15.75" customHeight="1" x14ac:dyDescent="0.35">
      <c r="A417" s="40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</row>
    <row r="418" spans="1:17" ht="15.75" customHeight="1" x14ac:dyDescent="0.35">
      <c r="A418" s="40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</row>
    <row r="419" spans="1:17" ht="15.75" customHeight="1" x14ac:dyDescent="0.35">
      <c r="A419" s="40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</row>
    <row r="420" spans="1:17" ht="15.75" customHeight="1" x14ac:dyDescent="0.35">
      <c r="A420" s="40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</row>
    <row r="421" spans="1:17" ht="15.75" customHeight="1" x14ac:dyDescent="0.35">
      <c r="A421" s="40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</row>
    <row r="422" spans="1:17" ht="15.75" customHeight="1" x14ac:dyDescent="0.35">
      <c r="A422" s="40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</row>
    <row r="423" spans="1:17" ht="15.75" customHeight="1" x14ac:dyDescent="0.35">
      <c r="A423" s="40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</row>
    <row r="424" spans="1:17" ht="15.75" customHeight="1" x14ac:dyDescent="0.35">
      <c r="A424" s="40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</row>
    <row r="425" spans="1:17" ht="15.75" customHeight="1" x14ac:dyDescent="0.35">
      <c r="A425" s="40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</row>
    <row r="426" spans="1:17" ht="15.75" customHeight="1" x14ac:dyDescent="0.35">
      <c r="A426" s="40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</row>
    <row r="427" spans="1:17" ht="15.75" customHeight="1" x14ac:dyDescent="0.35">
      <c r="A427" s="40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</row>
    <row r="428" spans="1:17" ht="15.75" customHeight="1" x14ac:dyDescent="0.35">
      <c r="A428" s="40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</row>
    <row r="429" spans="1:17" ht="15.75" customHeight="1" x14ac:dyDescent="0.35">
      <c r="A429" s="40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</row>
    <row r="430" spans="1:17" ht="15.75" customHeight="1" x14ac:dyDescent="0.35">
      <c r="A430" s="40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</row>
    <row r="431" spans="1:17" ht="15.75" customHeight="1" x14ac:dyDescent="0.35">
      <c r="A431" s="40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</row>
    <row r="432" spans="1:17" ht="15.75" customHeight="1" x14ac:dyDescent="0.35">
      <c r="A432" s="40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</row>
    <row r="433" spans="1:17" ht="15.75" customHeight="1" x14ac:dyDescent="0.35">
      <c r="A433" s="40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</row>
    <row r="434" spans="1:17" ht="15.75" customHeight="1" x14ac:dyDescent="0.35">
      <c r="A434" s="40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</row>
    <row r="435" spans="1:17" ht="15.75" customHeight="1" x14ac:dyDescent="0.35">
      <c r="A435" s="40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</row>
    <row r="436" spans="1:17" ht="15.75" customHeight="1" x14ac:dyDescent="0.35">
      <c r="A436" s="40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</row>
    <row r="437" spans="1:17" ht="15.75" customHeight="1" x14ac:dyDescent="0.35">
      <c r="A437" s="40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</row>
    <row r="438" spans="1:17" ht="15.75" customHeight="1" x14ac:dyDescent="0.35">
      <c r="A438" s="40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</row>
    <row r="439" spans="1:17" ht="15.75" customHeight="1" x14ac:dyDescent="0.35">
      <c r="A439" s="40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</row>
    <row r="440" spans="1:17" ht="15.75" customHeight="1" x14ac:dyDescent="0.35">
      <c r="A440" s="40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</row>
    <row r="441" spans="1:17" ht="15.75" customHeight="1" x14ac:dyDescent="0.35">
      <c r="A441" s="40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</row>
    <row r="442" spans="1:17" ht="15.75" customHeight="1" x14ac:dyDescent="0.35">
      <c r="A442" s="40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</row>
    <row r="443" spans="1:17" ht="15.75" customHeight="1" x14ac:dyDescent="0.35">
      <c r="A443" s="40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</row>
    <row r="444" spans="1:17" ht="15.75" customHeight="1" x14ac:dyDescent="0.35">
      <c r="A444" s="40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</row>
    <row r="445" spans="1:17" ht="15.75" customHeight="1" x14ac:dyDescent="0.35">
      <c r="A445" s="40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</row>
    <row r="446" spans="1:17" ht="15.75" customHeight="1" x14ac:dyDescent="0.35">
      <c r="A446" s="40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</row>
    <row r="447" spans="1:17" ht="15.75" customHeight="1" x14ac:dyDescent="0.35">
      <c r="A447" s="40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</row>
    <row r="448" spans="1:17" ht="15.75" customHeight="1" x14ac:dyDescent="0.35">
      <c r="A448" s="40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</row>
    <row r="449" spans="1:17" ht="15.75" customHeight="1" x14ac:dyDescent="0.35">
      <c r="A449" s="40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</row>
    <row r="450" spans="1:17" ht="15.75" customHeight="1" x14ac:dyDescent="0.35">
      <c r="A450" s="40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</row>
    <row r="451" spans="1:17" ht="15.75" customHeight="1" x14ac:dyDescent="0.35">
      <c r="A451" s="40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</row>
    <row r="452" spans="1:17" ht="15.75" customHeight="1" x14ac:dyDescent="0.35">
      <c r="A452" s="40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</row>
    <row r="453" spans="1:17" ht="15.75" customHeight="1" x14ac:dyDescent="0.35">
      <c r="A453" s="40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</row>
    <row r="454" spans="1:17" ht="15.75" customHeight="1" x14ac:dyDescent="0.35">
      <c r="A454" s="40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</row>
    <row r="455" spans="1:17" ht="15.75" customHeight="1" x14ac:dyDescent="0.35">
      <c r="A455" s="40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</row>
    <row r="456" spans="1:17" ht="15.75" customHeight="1" x14ac:dyDescent="0.35">
      <c r="A456" s="40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</row>
    <row r="457" spans="1:17" ht="15.75" customHeight="1" x14ac:dyDescent="0.35">
      <c r="A457" s="40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</row>
    <row r="458" spans="1:17" ht="15.75" customHeight="1" x14ac:dyDescent="0.35">
      <c r="A458" s="40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</row>
    <row r="459" spans="1:17" ht="15.75" customHeight="1" x14ac:dyDescent="0.35">
      <c r="A459" s="40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</row>
    <row r="460" spans="1:17" ht="15.75" customHeight="1" x14ac:dyDescent="0.35">
      <c r="A460" s="40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</row>
    <row r="461" spans="1:17" ht="15.75" customHeight="1" x14ac:dyDescent="0.35">
      <c r="A461" s="40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</row>
    <row r="462" spans="1:17" ht="15.75" customHeight="1" x14ac:dyDescent="0.35">
      <c r="A462" s="40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</row>
    <row r="463" spans="1:17" ht="15.75" customHeight="1" x14ac:dyDescent="0.35">
      <c r="A463" s="40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</row>
    <row r="464" spans="1:17" ht="15.75" customHeight="1" x14ac:dyDescent="0.35">
      <c r="A464" s="40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</row>
    <row r="465" spans="1:17" ht="15.75" customHeight="1" x14ac:dyDescent="0.35">
      <c r="A465" s="40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</row>
    <row r="466" spans="1:17" ht="15.75" customHeight="1" x14ac:dyDescent="0.35">
      <c r="A466" s="40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</row>
    <row r="467" spans="1:17" ht="15.75" customHeight="1" x14ac:dyDescent="0.35">
      <c r="A467" s="40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</row>
    <row r="468" spans="1:17" ht="15.75" customHeight="1" x14ac:dyDescent="0.35">
      <c r="A468" s="40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</row>
    <row r="469" spans="1:17" ht="15.75" customHeight="1" x14ac:dyDescent="0.35">
      <c r="A469" s="40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</row>
    <row r="470" spans="1:17" ht="15.75" customHeight="1" x14ac:dyDescent="0.35">
      <c r="A470" s="40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</row>
    <row r="471" spans="1:17" ht="15.75" customHeight="1" x14ac:dyDescent="0.35">
      <c r="A471" s="40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</row>
    <row r="472" spans="1:17" ht="15.75" customHeight="1" x14ac:dyDescent="0.35">
      <c r="A472" s="40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</row>
    <row r="473" spans="1:17" ht="15.75" customHeight="1" x14ac:dyDescent="0.35">
      <c r="A473" s="40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</row>
    <row r="474" spans="1:17" ht="15.75" customHeight="1" x14ac:dyDescent="0.35">
      <c r="A474" s="40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</row>
    <row r="475" spans="1:17" ht="15.75" customHeight="1" x14ac:dyDescent="0.35">
      <c r="A475" s="40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</row>
    <row r="476" spans="1:17" ht="15.75" customHeight="1" x14ac:dyDescent="0.35">
      <c r="A476" s="40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</row>
    <row r="477" spans="1:17" ht="15.75" customHeight="1" x14ac:dyDescent="0.35">
      <c r="A477" s="40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</row>
    <row r="478" spans="1:17" ht="15.75" customHeight="1" x14ac:dyDescent="0.35">
      <c r="A478" s="40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</row>
    <row r="479" spans="1:17" ht="15.75" customHeight="1" x14ac:dyDescent="0.35">
      <c r="A479" s="40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</row>
    <row r="480" spans="1:17" ht="15.75" customHeight="1" x14ac:dyDescent="0.35">
      <c r="A480" s="40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</row>
    <row r="481" spans="1:17" ht="15.75" customHeight="1" x14ac:dyDescent="0.35">
      <c r="A481" s="40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</row>
    <row r="482" spans="1:17" ht="15.75" customHeight="1" x14ac:dyDescent="0.35">
      <c r="A482" s="40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</row>
    <row r="483" spans="1:17" ht="15.75" customHeight="1" x14ac:dyDescent="0.35">
      <c r="A483" s="40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</row>
    <row r="484" spans="1:17" ht="15.75" customHeight="1" x14ac:dyDescent="0.35">
      <c r="A484" s="40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</row>
    <row r="485" spans="1:17" ht="15.75" customHeight="1" x14ac:dyDescent="0.35">
      <c r="A485" s="40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</row>
    <row r="486" spans="1:17" ht="15.75" customHeight="1" x14ac:dyDescent="0.35">
      <c r="A486" s="40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</row>
    <row r="487" spans="1:17" ht="15.75" customHeight="1" x14ac:dyDescent="0.35">
      <c r="A487" s="40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</row>
    <row r="488" spans="1:17" ht="15.75" customHeight="1" x14ac:dyDescent="0.35">
      <c r="A488" s="40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</row>
    <row r="489" spans="1:17" ht="15.75" customHeight="1" x14ac:dyDescent="0.35">
      <c r="A489" s="40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</row>
    <row r="490" spans="1:17" ht="15.75" customHeight="1" x14ac:dyDescent="0.35">
      <c r="A490" s="40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</row>
    <row r="491" spans="1:17" ht="15.75" customHeight="1" x14ac:dyDescent="0.35">
      <c r="A491" s="40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</row>
    <row r="492" spans="1:17" ht="15.75" customHeight="1" x14ac:dyDescent="0.35">
      <c r="A492" s="40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</row>
    <row r="493" spans="1:17" ht="15.75" customHeight="1" x14ac:dyDescent="0.35">
      <c r="A493" s="40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</row>
    <row r="494" spans="1:17" ht="15.75" customHeight="1" x14ac:dyDescent="0.35">
      <c r="A494" s="40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</row>
    <row r="495" spans="1:17" ht="15.75" customHeight="1" x14ac:dyDescent="0.35">
      <c r="A495" s="40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</row>
    <row r="496" spans="1:17" ht="15.75" customHeight="1" x14ac:dyDescent="0.35">
      <c r="A496" s="40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</row>
    <row r="497" spans="1:17" ht="15.75" customHeight="1" x14ac:dyDescent="0.35">
      <c r="A497" s="40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</row>
    <row r="498" spans="1:17" ht="15.75" customHeight="1" x14ac:dyDescent="0.35">
      <c r="A498" s="40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</row>
    <row r="499" spans="1:17" ht="15.75" customHeight="1" x14ac:dyDescent="0.35">
      <c r="A499" s="40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</row>
    <row r="500" spans="1:17" ht="15.75" customHeight="1" x14ac:dyDescent="0.35">
      <c r="A500" s="40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</row>
    <row r="501" spans="1:17" ht="15.75" customHeight="1" x14ac:dyDescent="0.35">
      <c r="A501" s="40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</row>
    <row r="502" spans="1:17" ht="15.75" customHeight="1" x14ac:dyDescent="0.35">
      <c r="A502" s="40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</row>
    <row r="503" spans="1:17" ht="15.75" customHeight="1" x14ac:dyDescent="0.35">
      <c r="A503" s="40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</row>
    <row r="504" spans="1:17" ht="15.75" customHeight="1" x14ac:dyDescent="0.35">
      <c r="A504" s="40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</row>
    <row r="505" spans="1:17" ht="15.75" customHeight="1" x14ac:dyDescent="0.35">
      <c r="A505" s="40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</row>
    <row r="506" spans="1:17" ht="15.75" customHeight="1" x14ac:dyDescent="0.35">
      <c r="A506" s="40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</row>
    <row r="507" spans="1:17" ht="15.75" customHeight="1" x14ac:dyDescent="0.35">
      <c r="A507" s="40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</row>
    <row r="508" spans="1:17" ht="15.75" customHeight="1" x14ac:dyDescent="0.35">
      <c r="A508" s="40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</row>
    <row r="509" spans="1:17" ht="15.75" customHeight="1" x14ac:dyDescent="0.35">
      <c r="A509" s="40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</row>
    <row r="510" spans="1:17" ht="15.75" customHeight="1" x14ac:dyDescent="0.35">
      <c r="A510" s="40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</row>
    <row r="511" spans="1:17" ht="15.75" customHeight="1" x14ac:dyDescent="0.35">
      <c r="A511" s="40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</row>
    <row r="512" spans="1:17" ht="15.75" customHeight="1" x14ac:dyDescent="0.35">
      <c r="A512" s="40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</row>
    <row r="513" spans="1:17" ht="15.75" customHeight="1" x14ac:dyDescent="0.35">
      <c r="A513" s="40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</row>
    <row r="514" spans="1:17" ht="15.75" customHeight="1" x14ac:dyDescent="0.35">
      <c r="A514" s="40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</row>
    <row r="515" spans="1:17" ht="15.75" customHeight="1" x14ac:dyDescent="0.35">
      <c r="A515" s="40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</row>
    <row r="516" spans="1:17" ht="15.75" customHeight="1" x14ac:dyDescent="0.35">
      <c r="A516" s="40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</row>
    <row r="517" spans="1:17" ht="15.75" customHeight="1" x14ac:dyDescent="0.35">
      <c r="A517" s="40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</row>
    <row r="518" spans="1:17" ht="15.75" customHeight="1" x14ac:dyDescent="0.35">
      <c r="A518" s="40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</row>
    <row r="519" spans="1:17" ht="15.75" customHeight="1" x14ac:dyDescent="0.35">
      <c r="A519" s="40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</row>
    <row r="520" spans="1:17" ht="15.75" customHeight="1" x14ac:dyDescent="0.35">
      <c r="A520" s="40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</row>
    <row r="521" spans="1:17" ht="15.75" customHeight="1" x14ac:dyDescent="0.35">
      <c r="A521" s="40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</row>
    <row r="522" spans="1:17" ht="15.75" customHeight="1" x14ac:dyDescent="0.35">
      <c r="A522" s="40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</row>
    <row r="523" spans="1:17" ht="15.75" customHeight="1" x14ac:dyDescent="0.35">
      <c r="A523" s="40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</row>
    <row r="524" spans="1:17" ht="15.75" customHeight="1" x14ac:dyDescent="0.35">
      <c r="A524" s="40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</row>
    <row r="525" spans="1:17" ht="15.75" customHeight="1" x14ac:dyDescent="0.35">
      <c r="A525" s="40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</row>
    <row r="526" spans="1:17" ht="15.75" customHeight="1" x14ac:dyDescent="0.35">
      <c r="A526" s="40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</row>
    <row r="527" spans="1:17" ht="15.75" customHeight="1" x14ac:dyDescent="0.35">
      <c r="A527" s="40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</row>
    <row r="528" spans="1:17" ht="15.75" customHeight="1" x14ac:dyDescent="0.35">
      <c r="A528" s="40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</row>
    <row r="529" spans="1:17" ht="15.75" customHeight="1" x14ac:dyDescent="0.35">
      <c r="A529" s="40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</row>
    <row r="530" spans="1:17" ht="15.75" customHeight="1" x14ac:dyDescent="0.35">
      <c r="A530" s="40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</row>
    <row r="531" spans="1:17" ht="15.75" customHeight="1" x14ac:dyDescent="0.35">
      <c r="A531" s="40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</row>
    <row r="532" spans="1:17" ht="15.75" customHeight="1" x14ac:dyDescent="0.35">
      <c r="A532" s="40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</row>
    <row r="533" spans="1:17" ht="15.75" customHeight="1" x14ac:dyDescent="0.35">
      <c r="A533" s="40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</row>
    <row r="534" spans="1:17" ht="15.75" customHeight="1" x14ac:dyDescent="0.35">
      <c r="A534" s="40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</row>
    <row r="535" spans="1:17" ht="15.75" customHeight="1" x14ac:dyDescent="0.35">
      <c r="A535" s="40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</row>
    <row r="536" spans="1:17" ht="15.75" customHeight="1" x14ac:dyDescent="0.35">
      <c r="A536" s="40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</row>
    <row r="537" spans="1:17" ht="15.75" customHeight="1" x14ac:dyDescent="0.35">
      <c r="A537" s="40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</row>
    <row r="538" spans="1:17" ht="15.75" customHeight="1" x14ac:dyDescent="0.35">
      <c r="A538" s="40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</row>
    <row r="539" spans="1:17" ht="15.75" customHeight="1" x14ac:dyDescent="0.35">
      <c r="A539" s="40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</row>
    <row r="540" spans="1:17" ht="15.75" customHeight="1" x14ac:dyDescent="0.35">
      <c r="A540" s="40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</row>
    <row r="541" spans="1:17" ht="15.75" customHeight="1" x14ac:dyDescent="0.35">
      <c r="A541" s="40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</row>
    <row r="542" spans="1:17" ht="15.75" customHeight="1" x14ac:dyDescent="0.35">
      <c r="A542" s="40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</row>
    <row r="543" spans="1:17" ht="15.75" customHeight="1" x14ac:dyDescent="0.35">
      <c r="A543" s="40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</row>
    <row r="544" spans="1:17" ht="15.75" customHeight="1" x14ac:dyDescent="0.35">
      <c r="A544" s="40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</row>
    <row r="545" spans="1:17" ht="15.75" customHeight="1" x14ac:dyDescent="0.35">
      <c r="A545" s="40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</row>
    <row r="546" spans="1:17" ht="15.75" customHeight="1" x14ac:dyDescent="0.35">
      <c r="A546" s="40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</row>
    <row r="547" spans="1:17" ht="15.75" customHeight="1" x14ac:dyDescent="0.35">
      <c r="A547" s="40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</row>
    <row r="548" spans="1:17" ht="15.75" customHeight="1" x14ac:dyDescent="0.35">
      <c r="A548" s="40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</row>
    <row r="549" spans="1:17" ht="15.75" customHeight="1" x14ac:dyDescent="0.35">
      <c r="A549" s="40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</row>
    <row r="550" spans="1:17" ht="15.75" customHeight="1" x14ac:dyDescent="0.35">
      <c r="A550" s="40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</row>
    <row r="551" spans="1:17" ht="15.75" customHeight="1" x14ac:dyDescent="0.35">
      <c r="A551" s="40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</row>
    <row r="552" spans="1:17" ht="15.75" customHeight="1" x14ac:dyDescent="0.35">
      <c r="A552" s="40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</row>
    <row r="553" spans="1:17" ht="15.75" customHeight="1" x14ac:dyDescent="0.35">
      <c r="A553" s="40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</row>
    <row r="554" spans="1:17" ht="15.75" customHeight="1" x14ac:dyDescent="0.35">
      <c r="A554" s="40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</row>
    <row r="555" spans="1:17" ht="15.75" customHeight="1" x14ac:dyDescent="0.35">
      <c r="A555" s="40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</row>
    <row r="556" spans="1:17" ht="15.75" customHeight="1" x14ac:dyDescent="0.35">
      <c r="A556" s="40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</row>
    <row r="557" spans="1:17" ht="15.75" customHeight="1" x14ac:dyDescent="0.35">
      <c r="A557" s="40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</row>
    <row r="558" spans="1:17" ht="15.75" customHeight="1" x14ac:dyDescent="0.35">
      <c r="A558" s="40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</row>
    <row r="559" spans="1:17" ht="15.75" customHeight="1" x14ac:dyDescent="0.35">
      <c r="A559" s="40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</row>
    <row r="560" spans="1:17" ht="15.75" customHeight="1" x14ac:dyDescent="0.35">
      <c r="A560" s="40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</row>
    <row r="561" spans="1:17" ht="15.75" customHeight="1" x14ac:dyDescent="0.35">
      <c r="A561" s="40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</row>
    <row r="562" spans="1:17" ht="15.75" customHeight="1" x14ac:dyDescent="0.35">
      <c r="A562" s="40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</row>
    <row r="563" spans="1:17" ht="15.75" customHeight="1" x14ac:dyDescent="0.35">
      <c r="A563" s="40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</row>
    <row r="564" spans="1:17" ht="15.75" customHeight="1" x14ac:dyDescent="0.35">
      <c r="A564" s="40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</row>
    <row r="565" spans="1:17" ht="15.75" customHeight="1" x14ac:dyDescent="0.35">
      <c r="A565" s="40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</row>
    <row r="566" spans="1:17" ht="15.75" customHeight="1" x14ac:dyDescent="0.35">
      <c r="A566" s="40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</row>
    <row r="567" spans="1:17" ht="15.75" customHeight="1" x14ac:dyDescent="0.35">
      <c r="A567" s="40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</row>
    <row r="568" spans="1:17" ht="15.75" customHeight="1" x14ac:dyDescent="0.35">
      <c r="A568" s="40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</row>
    <row r="569" spans="1:17" ht="15.75" customHeight="1" x14ac:dyDescent="0.35">
      <c r="A569" s="40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</row>
    <row r="570" spans="1:17" ht="15.75" customHeight="1" x14ac:dyDescent="0.35">
      <c r="A570" s="40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</row>
    <row r="571" spans="1:17" ht="15.75" customHeight="1" x14ac:dyDescent="0.35">
      <c r="A571" s="40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</row>
    <row r="572" spans="1:17" ht="15.75" customHeight="1" x14ac:dyDescent="0.35">
      <c r="A572" s="40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</row>
    <row r="573" spans="1:17" ht="15.75" customHeight="1" x14ac:dyDescent="0.35">
      <c r="A573" s="40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</row>
    <row r="574" spans="1:17" ht="15.75" customHeight="1" x14ac:dyDescent="0.35">
      <c r="A574" s="40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</row>
    <row r="575" spans="1:17" ht="15.75" customHeight="1" x14ac:dyDescent="0.35">
      <c r="A575" s="40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</row>
    <row r="576" spans="1:17" ht="15.75" customHeight="1" x14ac:dyDescent="0.35">
      <c r="A576" s="40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</row>
    <row r="577" spans="1:17" ht="15.75" customHeight="1" x14ac:dyDescent="0.35">
      <c r="A577" s="40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</row>
    <row r="578" spans="1:17" ht="15.75" customHeight="1" x14ac:dyDescent="0.35">
      <c r="A578" s="40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</row>
    <row r="579" spans="1:17" ht="15.75" customHeight="1" x14ac:dyDescent="0.35">
      <c r="A579" s="40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</row>
    <row r="580" spans="1:17" ht="15.75" customHeight="1" x14ac:dyDescent="0.35">
      <c r="A580" s="40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</row>
    <row r="581" spans="1:17" ht="15.75" customHeight="1" x14ac:dyDescent="0.35">
      <c r="A581" s="40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</row>
    <row r="582" spans="1:17" ht="15.75" customHeight="1" x14ac:dyDescent="0.35">
      <c r="A582" s="40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</row>
    <row r="583" spans="1:17" ht="15.75" customHeight="1" x14ac:dyDescent="0.35">
      <c r="A583" s="40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</row>
    <row r="584" spans="1:17" ht="15.75" customHeight="1" x14ac:dyDescent="0.35">
      <c r="A584" s="40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</row>
    <row r="585" spans="1:17" ht="15.75" customHeight="1" x14ac:dyDescent="0.35">
      <c r="A585" s="40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</row>
    <row r="586" spans="1:17" ht="15.75" customHeight="1" x14ac:dyDescent="0.35">
      <c r="A586" s="40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</row>
    <row r="587" spans="1:17" ht="15.75" customHeight="1" x14ac:dyDescent="0.35">
      <c r="A587" s="40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</row>
    <row r="588" spans="1:17" ht="15.75" customHeight="1" x14ac:dyDescent="0.35">
      <c r="A588" s="40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</row>
    <row r="589" spans="1:17" ht="15.75" customHeight="1" x14ac:dyDescent="0.35">
      <c r="A589" s="40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</row>
    <row r="590" spans="1:17" ht="15.75" customHeight="1" x14ac:dyDescent="0.35">
      <c r="A590" s="40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</row>
    <row r="591" spans="1:17" ht="15.75" customHeight="1" x14ac:dyDescent="0.35">
      <c r="A591" s="40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</row>
    <row r="592" spans="1:17" ht="15.75" customHeight="1" x14ac:dyDescent="0.35">
      <c r="A592" s="40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</row>
    <row r="593" spans="1:17" ht="15.75" customHeight="1" x14ac:dyDescent="0.35">
      <c r="A593" s="40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</row>
    <row r="594" spans="1:17" ht="15.75" customHeight="1" x14ac:dyDescent="0.35">
      <c r="A594" s="40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</row>
    <row r="595" spans="1:17" ht="15.75" customHeight="1" x14ac:dyDescent="0.35">
      <c r="A595" s="40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</row>
    <row r="596" spans="1:17" ht="15.75" customHeight="1" x14ac:dyDescent="0.35">
      <c r="A596" s="40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</row>
    <row r="597" spans="1:17" ht="15.75" customHeight="1" x14ac:dyDescent="0.35">
      <c r="A597" s="40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</row>
    <row r="598" spans="1:17" ht="15.75" customHeight="1" x14ac:dyDescent="0.35">
      <c r="A598" s="40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</row>
    <row r="599" spans="1:17" ht="15.75" customHeight="1" x14ac:dyDescent="0.35">
      <c r="A599" s="40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</row>
    <row r="600" spans="1:17" ht="15.75" customHeight="1" x14ac:dyDescent="0.35">
      <c r="A600" s="40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</row>
    <row r="601" spans="1:17" ht="15.75" customHeight="1" x14ac:dyDescent="0.35">
      <c r="A601" s="40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</row>
    <row r="602" spans="1:17" ht="15.75" customHeight="1" x14ac:dyDescent="0.35">
      <c r="A602" s="40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</row>
    <row r="603" spans="1:17" ht="15.75" customHeight="1" x14ac:dyDescent="0.35">
      <c r="A603" s="40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</row>
    <row r="604" spans="1:17" ht="15.75" customHeight="1" x14ac:dyDescent="0.35">
      <c r="A604" s="40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</row>
    <row r="605" spans="1:17" ht="15.75" customHeight="1" x14ac:dyDescent="0.35">
      <c r="A605" s="40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</row>
    <row r="606" spans="1:17" ht="15.75" customHeight="1" x14ac:dyDescent="0.35">
      <c r="A606" s="40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</row>
    <row r="607" spans="1:17" ht="15.75" customHeight="1" x14ac:dyDescent="0.35">
      <c r="A607" s="40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</row>
    <row r="608" spans="1:17" ht="15.75" customHeight="1" x14ac:dyDescent="0.35">
      <c r="A608" s="40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</row>
    <row r="609" spans="1:17" ht="15.75" customHeight="1" x14ac:dyDescent="0.35">
      <c r="A609" s="40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</row>
    <row r="610" spans="1:17" ht="15.75" customHeight="1" x14ac:dyDescent="0.35">
      <c r="A610" s="40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</row>
    <row r="611" spans="1:17" ht="15.75" customHeight="1" x14ac:dyDescent="0.35">
      <c r="A611" s="40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</row>
    <row r="612" spans="1:17" ht="15.75" customHeight="1" x14ac:dyDescent="0.35">
      <c r="A612" s="40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</row>
    <row r="613" spans="1:17" ht="15.75" customHeight="1" x14ac:dyDescent="0.35">
      <c r="A613" s="40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</row>
    <row r="614" spans="1:17" ht="15.75" customHeight="1" x14ac:dyDescent="0.35">
      <c r="A614" s="40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</row>
    <row r="615" spans="1:17" ht="15.75" customHeight="1" x14ac:dyDescent="0.35">
      <c r="A615" s="40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</row>
    <row r="616" spans="1:17" ht="15.75" customHeight="1" x14ac:dyDescent="0.35">
      <c r="A616" s="40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</row>
    <row r="617" spans="1:17" ht="15.75" customHeight="1" x14ac:dyDescent="0.35">
      <c r="A617" s="40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</row>
    <row r="618" spans="1:17" ht="15.75" customHeight="1" x14ac:dyDescent="0.35">
      <c r="A618" s="40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</row>
    <row r="619" spans="1:17" ht="15.75" customHeight="1" x14ac:dyDescent="0.35">
      <c r="A619" s="40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</row>
    <row r="620" spans="1:17" ht="15.75" customHeight="1" x14ac:dyDescent="0.35">
      <c r="A620" s="40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</row>
    <row r="621" spans="1:17" ht="15.75" customHeight="1" x14ac:dyDescent="0.35">
      <c r="A621" s="40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</row>
    <row r="622" spans="1:17" ht="15.75" customHeight="1" x14ac:dyDescent="0.35">
      <c r="A622" s="40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</row>
    <row r="623" spans="1:17" ht="15.75" customHeight="1" x14ac:dyDescent="0.35">
      <c r="A623" s="40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</row>
    <row r="624" spans="1:17" ht="15.75" customHeight="1" x14ac:dyDescent="0.35">
      <c r="A624" s="40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</row>
    <row r="625" spans="1:17" ht="15.75" customHeight="1" x14ac:dyDescent="0.35">
      <c r="A625" s="40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</row>
    <row r="626" spans="1:17" ht="15.75" customHeight="1" x14ac:dyDescent="0.35">
      <c r="A626" s="40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</row>
    <row r="627" spans="1:17" ht="15.75" customHeight="1" x14ac:dyDescent="0.35">
      <c r="A627" s="40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</row>
    <row r="628" spans="1:17" ht="15.75" customHeight="1" x14ac:dyDescent="0.35">
      <c r="A628" s="40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</row>
    <row r="629" spans="1:17" ht="15.75" customHeight="1" x14ac:dyDescent="0.35">
      <c r="A629" s="40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</row>
    <row r="630" spans="1:17" ht="15.75" customHeight="1" x14ac:dyDescent="0.35">
      <c r="A630" s="40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</row>
    <row r="631" spans="1:17" ht="15.75" customHeight="1" x14ac:dyDescent="0.35">
      <c r="A631" s="40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</row>
    <row r="632" spans="1:17" ht="15.75" customHeight="1" x14ac:dyDescent="0.35">
      <c r="A632" s="40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</row>
    <row r="633" spans="1:17" ht="15.75" customHeight="1" x14ac:dyDescent="0.35">
      <c r="A633" s="40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</row>
    <row r="634" spans="1:17" ht="15.75" customHeight="1" x14ac:dyDescent="0.35">
      <c r="A634" s="40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</row>
    <row r="635" spans="1:17" ht="15.75" customHeight="1" x14ac:dyDescent="0.35">
      <c r="A635" s="40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</row>
    <row r="636" spans="1:17" ht="15.75" customHeight="1" x14ac:dyDescent="0.35">
      <c r="A636" s="40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</row>
    <row r="637" spans="1:17" ht="15.75" customHeight="1" x14ac:dyDescent="0.35">
      <c r="A637" s="40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</row>
    <row r="638" spans="1:17" ht="15.75" customHeight="1" x14ac:dyDescent="0.35">
      <c r="A638" s="40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</row>
    <row r="639" spans="1:17" ht="15.75" customHeight="1" x14ac:dyDescent="0.35">
      <c r="A639" s="40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</row>
    <row r="640" spans="1:17" ht="15.75" customHeight="1" x14ac:dyDescent="0.35">
      <c r="A640" s="40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</row>
    <row r="641" spans="1:17" ht="15.75" customHeight="1" x14ac:dyDescent="0.35">
      <c r="A641" s="40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</row>
    <row r="642" spans="1:17" ht="15.75" customHeight="1" x14ac:dyDescent="0.35">
      <c r="A642" s="40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</row>
    <row r="643" spans="1:17" ht="15.75" customHeight="1" x14ac:dyDescent="0.35">
      <c r="A643" s="40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</row>
    <row r="644" spans="1:17" ht="15.75" customHeight="1" x14ac:dyDescent="0.35">
      <c r="A644" s="40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</row>
    <row r="645" spans="1:17" ht="15.75" customHeight="1" x14ac:dyDescent="0.35">
      <c r="A645" s="40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</row>
    <row r="646" spans="1:17" ht="15.75" customHeight="1" x14ac:dyDescent="0.35">
      <c r="A646" s="40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</row>
    <row r="647" spans="1:17" ht="15.75" customHeight="1" x14ac:dyDescent="0.35">
      <c r="A647" s="40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</row>
    <row r="648" spans="1:17" ht="15.75" customHeight="1" x14ac:dyDescent="0.35">
      <c r="A648" s="40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</row>
    <row r="649" spans="1:17" ht="15.75" customHeight="1" x14ac:dyDescent="0.35">
      <c r="A649" s="40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</row>
    <row r="650" spans="1:17" ht="15.75" customHeight="1" x14ac:dyDescent="0.35">
      <c r="A650" s="40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</row>
    <row r="651" spans="1:17" ht="15.75" customHeight="1" x14ac:dyDescent="0.35">
      <c r="A651" s="40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</row>
    <row r="652" spans="1:17" ht="15.75" customHeight="1" x14ac:dyDescent="0.35">
      <c r="A652" s="40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</row>
    <row r="653" spans="1:17" ht="15.75" customHeight="1" x14ac:dyDescent="0.35">
      <c r="A653" s="40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</row>
    <row r="654" spans="1:17" ht="15.75" customHeight="1" x14ac:dyDescent="0.35">
      <c r="A654" s="40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</row>
    <row r="655" spans="1:17" ht="15.75" customHeight="1" x14ac:dyDescent="0.35">
      <c r="A655" s="40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</row>
    <row r="656" spans="1:17" ht="15.75" customHeight="1" x14ac:dyDescent="0.35">
      <c r="A656" s="40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</row>
    <row r="657" spans="1:17" ht="15.75" customHeight="1" x14ac:dyDescent="0.35">
      <c r="A657" s="40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</row>
    <row r="658" spans="1:17" ht="15.75" customHeight="1" x14ac:dyDescent="0.35">
      <c r="A658" s="40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</row>
    <row r="659" spans="1:17" ht="15.75" customHeight="1" x14ac:dyDescent="0.35">
      <c r="A659" s="40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</row>
    <row r="660" spans="1:17" ht="15.75" customHeight="1" x14ac:dyDescent="0.35">
      <c r="A660" s="40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</row>
    <row r="661" spans="1:17" ht="15.75" customHeight="1" x14ac:dyDescent="0.35">
      <c r="A661" s="40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</row>
    <row r="662" spans="1:17" ht="15.75" customHeight="1" x14ac:dyDescent="0.35">
      <c r="A662" s="40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</row>
    <row r="663" spans="1:17" ht="15.75" customHeight="1" x14ac:dyDescent="0.35">
      <c r="A663" s="40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</row>
    <row r="664" spans="1:17" ht="15.75" customHeight="1" x14ac:dyDescent="0.35">
      <c r="A664" s="40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</row>
    <row r="665" spans="1:17" ht="15.75" customHeight="1" x14ac:dyDescent="0.35">
      <c r="A665" s="40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</row>
    <row r="666" spans="1:17" ht="15.75" customHeight="1" x14ac:dyDescent="0.35">
      <c r="A666" s="40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</row>
    <row r="667" spans="1:17" ht="15.75" customHeight="1" x14ac:dyDescent="0.35">
      <c r="A667" s="40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</row>
    <row r="668" spans="1:17" ht="15.75" customHeight="1" x14ac:dyDescent="0.35">
      <c r="A668" s="40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</row>
    <row r="669" spans="1:17" ht="15.75" customHeight="1" x14ac:dyDescent="0.35">
      <c r="A669" s="40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</row>
    <row r="670" spans="1:17" ht="15.75" customHeight="1" x14ac:dyDescent="0.35">
      <c r="A670" s="40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</row>
    <row r="671" spans="1:17" ht="15.75" customHeight="1" x14ac:dyDescent="0.35">
      <c r="A671" s="40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</row>
    <row r="672" spans="1:17" ht="15.75" customHeight="1" x14ac:dyDescent="0.35">
      <c r="A672" s="40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</row>
    <row r="673" spans="1:17" ht="15.75" customHeight="1" x14ac:dyDescent="0.35">
      <c r="A673" s="40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</row>
    <row r="674" spans="1:17" ht="15.75" customHeight="1" x14ac:dyDescent="0.35">
      <c r="A674" s="40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</row>
    <row r="675" spans="1:17" ht="15.75" customHeight="1" x14ac:dyDescent="0.35">
      <c r="A675" s="40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</row>
    <row r="676" spans="1:17" ht="15.75" customHeight="1" x14ac:dyDescent="0.35">
      <c r="A676" s="40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</row>
    <row r="677" spans="1:17" ht="15.75" customHeight="1" x14ac:dyDescent="0.35">
      <c r="A677" s="40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</row>
    <row r="678" spans="1:17" ht="15.75" customHeight="1" x14ac:dyDescent="0.35">
      <c r="A678" s="40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</row>
    <row r="679" spans="1:17" ht="15.75" customHeight="1" x14ac:dyDescent="0.35">
      <c r="A679" s="40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</row>
    <row r="680" spans="1:17" ht="15.75" customHeight="1" x14ac:dyDescent="0.35">
      <c r="A680" s="40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</row>
    <row r="681" spans="1:17" ht="15.75" customHeight="1" x14ac:dyDescent="0.35">
      <c r="A681" s="40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</row>
    <row r="682" spans="1:17" ht="15.75" customHeight="1" x14ac:dyDescent="0.35">
      <c r="A682" s="40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</row>
    <row r="683" spans="1:17" ht="15.75" customHeight="1" x14ac:dyDescent="0.35">
      <c r="A683" s="40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</row>
    <row r="684" spans="1:17" ht="15.75" customHeight="1" x14ac:dyDescent="0.35">
      <c r="A684" s="40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</row>
    <row r="685" spans="1:17" ht="15.75" customHeight="1" x14ac:dyDescent="0.35">
      <c r="A685" s="40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</row>
    <row r="686" spans="1:17" ht="15.75" customHeight="1" x14ac:dyDescent="0.35">
      <c r="A686" s="40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</row>
    <row r="687" spans="1:17" ht="15.75" customHeight="1" x14ac:dyDescent="0.35">
      <c r="A687" s="40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</row>
    <row r="688" spans="1:17" ht="15.75" customHeight="1" x14ac:dyDescent="0.35">
      <c r="A688" s="40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</row>
    <row r="689" spans="1:17" ht="15.75" customHeight="1" x14ac:dyDescent="0.35">
      <c r="A689" s="40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</row>
    <row r="690" spans="1:17" ht="15.75" customHeight="1" x14ac:dyDescent="0.35">
      <c r="A690" s="40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</row>
    <row r="691" spans="1:17" ht="15.75" customHeight="1" x14ac:dyDescent="0.35">
      <c r="A691" s="40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</row>
    <row r="692" spans="1:17" ht="15.75" customHeight="1" x14ac:dyDescent="0.35">
      <c r="A692" s="40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</row>
    <row r="693" spans="1:17" ht="15.75" customHeight="1" x14ac:dyDescent="0.35">
      <c r="A693" s="40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</row>
    <row r="694" spans="1:17" ht="15.75" customHeight="1" x14ac:dyDescent="0.35">
      <c r="A694" s="40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</row>
    <row r="695" spans="1:17" ht="15.75" customHeight="1" x14ac:dyDescent="0.35">
      <c r="A695" s="40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</row>
    <row r="696" spans="1:17" ht="15.75" customHeight="1" x14ac:dyDescent="0.35">
      <c r="A696" s="40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</row>
    <row r="697" spans="1:17" ht="15.75" customHeight="1" x14ac:dyDescent="0.35">
      <c r="A697" s="40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</row>
    <row r="698" spans="1:17" ht="15.75" customHeight="1" x14ac:dyDescent="0.35">
      <c r="A698" s="40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</row>
    <row r="699" spans="1:17" ht="15.75" customHeight="1" x14ac:dyDescent="0.35">
      <c r="A699" s="40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</row>
    <row r="700" spans="1:17" ht="15.75" customHeight="1" x14ac:dyDescent="0.35">
      <c r="A700" s="40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</row>
    <row r="701" spans="1:17" ht="15.75" customHeight="1" x14ac:dyDescent="0.35">
      <c r="A701" s="40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</row>
    <row r="702" spans="1:17" ht="15.75" customHeight="1" x14ac:dyDescent="0.35">
      <c r="A702" s="40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</row>
    <row r="703" spans="1:17" ht="15.75" customHeight="1" x14ac:dyDescent="0.35">
      <c r="A703" s="40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</row>
    <row r="704" spans="1:17" ht="15.75" customHeight="1" x14ac:dyDescent="0.35">
      <c r="A704" s="40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</row>
    <row r="705" spans="1:17" ht="15.75" customHeight="1" x14ac:dyDescent="0.35">
      <c r="A705" s="40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</row>
    <row r="706" spans="1:17" ht="15.75" customHeight="1" x14ac:dyDescent="0.35">
      <c r="A706" s="40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</row>
    <row r="707" spans="1:17" ht="15.75" customHeight="1" x14ac:dyDescent="0.35">
      <c r="A707" s="40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</row>
    <row r="708" spans="1:17" ht="15.75" customHeight="1" x14ac:dyDescent="0.35">
      <c r="A708" s="40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</row>
    <row r="709" spans="1:17" ht="15.75" customHeight="1" x14ac:dyDescent="0.35">
      <c r="A709" s="40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</row>
    <row r="710" spans="1:17" ht="15.75" customHeight="1" x14ac:dyDescent="0.35">
      <c r="A710" s="40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</row>
    <row r="711" spans="1:17" ht="15.75" customHeight="1" x14ac:dyDescent="0.35">
      <c r="A711" s="40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</row>
    <row r="712" spans="1:17" ht="15.75" customHeight="1" x14ac:dyDescent="0.35">
      <c r="A712" s="40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</row>
    <row r="713" spans="1:17" ht="15.75" customHeight="1" x14ac:dyDescent="0.35">
      <c r="A713" s="40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</row>
    <row r="714" spans="1:17" ht="15.75" customHeight="1" x14ac:dyDescent="0.35">
      <c r="A714" s="40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</row>
    <row r="715" spans="1:17" ht="15.75" customHeight="1" x14ac:dyDescent="0.35">
      <c r="A715" s="40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</row>
    <row r="716" spans="1:17" ht="15.75" customHeight="1" x14ac:dyDescent="0.35">
      <c r="A716" s="40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</row>
    <row r="717" spans="1:17" ht="15.75" customHeight="1" x14ac:dyDescent="0.35">
      <c r="A717" s="40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</row>
    <row r="718" spans="1:17" ht="15.75" customHeight="1" x14ac:dyDescent="0.35">
      <c r="A718" s="40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</row>
    <row r="719" spans="1:17" ht="15.75" customHeight="1" x14ac:dyDescent="0.35">
      <c r="A719" s="40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</row>
    <row r="720" spans="1:17" ht="15.75" customHeight="1" x14ac:dyDescent="0.35">
      <c r="A720" s="40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</row>
    <row r="721" spans="1:17" ht="15.75" customHeight="1" x14ac:dyDescent="0.35">
      <c r="A721" s="40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</row>
    <row r="722" spans="1:17" ht="15.75" customHeight="1" x14ac:dyDescent="0.35">
      <c r="A722" s="40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</row>
    <row r="723" spans="1:17" ht="15.75" customHeight="1" x14ac:dyDescent="0.35">
      <c r="A723" s="40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</row>
    <row r="724" spans="1:17" ht="15.75" customHeight="1" x14ac:dyDescent="0.35">
      <c r="A724" s="40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</row>
    <row r="725" spans="1:17" ht="15.75" customHeight="1" x14ac:dyDescent="0.35">
      <c r="A725" s="40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</row>
    <row r="726" spans="1:17" ht="15.75" customHeight="1" x14ac:dyDescent="0.35">
      <c r="A726" s="40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</row>
    <row r="727" spans="1:17" ht="15.75" customHeight="1" x14ac:dyDescent="0.35">
      <c r="A727" s="40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</row>
    <row r="728" spans="1:17" ht="15.75" customHeight="1" x14ac:dyDescent="0.35">
      <c r="A728" s="40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</row>
    <row r="729" spans="1:17" ht="15.75" customHeight="1" x14ac:dyDescent="0.35">
      <c r="A729" s="40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</row>
    <row r="730" spans="1:17" ht="15.75" customHeight="1" x14ac:dyDescent="0.35">
      <c r="A730" s="40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</row>
    <row r="731" spans="1:17" ht="15.75" customHeight="1" x14ac:dyDescent="0.35">
      <c r="A731" s="40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</row>
    <row r="732" spans="1:17" ht="15.75" customHeight="1" x14ac:dyDescent="0.35">
      <c r="A732" s="40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</row>
    <row r="733" spans="1:17" ht="15.75" customHeight="1" x14ac:dyDescent="0.35">
      <c r="A733" s="40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</row>
    <row r="734" spans="1:17" ht="15.75" customHeight="1" x14ac:dyDescent="0.35">
      <c r="A734" s="40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</row>
    <row r="735" spans="1:17" ht="15.75" customHeight="1" x14ac:dyDescent="0.35">
      <c r="A735" s="40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</row>
    <row r="736" spans="1:17" ht="15.75" customHeight="1" x14ac:dyDescent="0.35">
      <c r="A736" s="40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</row>
    <row r="737" spans="1:17" ht="15.75" customHeight="1" x14ac:dyDescent="0.35">
      <c r="A737" s="40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</row>
    <row r="738" spans="1:17" ht="15.75" customHeight="1" x14ac:dyDescent="0.35">
      <c r="A738" s="40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</row>
    <row r="739" spans="1:17" ht="15.75" customHeight="1" x14ac:dyDescent="0.35">
      <c r="A739" s="40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</row>
    <row r="740" spans="1:17" ht="15.75" customHeight="1" x14ac:dyDescent="0.35">
      <c r="A740" s="40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</row>
    <row r="741" spans="1:17" ht="15.75" customHeight="1" x14ac:dyDescent="0.35">
      <c r="A741" s="40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</row>
    <row r="742" spans="1:17" ht="15.75" customHeight="1" x14ac:dyDescent="0.35">
      <c r="A742" s="40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</row>
    <row r="743" spans="1:17" ht="15.75" customHeight="1" x14ac:dyDescent="0.35">
      <c r="A743" s="40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</row>
    <row r="744" spans="1:17" ht="15.75" customHeight="1" x14ac:dyDescent="0.35">
      <c r="A744" s="40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</row>
    <row r="745" spans="1:17" ht="15.75" customHeight="1" x14ac:dyDescent="0.35">
      <c r="A745" s="40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</row>
    <row r="746" spans="1:17" ht="15.75" customHeight="1" x14ac:dyDescent="0.35">
      <c r="A746" s="40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</row>
    <row r="747" spans="1:17" ht="15.75" customHeight="1" x14ac:dyDescent="0.35">
      <c r="A747" s="40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</row>
    <row r="748" spans="1:17" ht="15.75" customHeight="1" x14ac:dyDescent="0.35">
      <c r="A748" s="40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</row>
    <row r="749" spans="1:17" ht="15.75" customHeight="1" x14ac:dyDescent="0.35">
      <c r="A749" s="40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</row>
    <row r="750" spans="1:17" ht="15.75" customHeight="1" x14ac:dyDescent="0.35">
      <c r="A750" s="40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</row>
    <row r="751" spans="1:17" ht="15.75" customHeight="1" x14ac:dyDescent="0.35">
      <c r="A751" s="40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</row>
    <row r="752" spans="1:17" ht="15.75" customHeight="1" x14ac:dyDescent="0.35">
      <c r="A752" s="40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</row>
    <row r="753" spans="1:17" ht="15.75" customHeight="1" x14ac:dyDescent="0.35">
      <c r="A753" s="40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</row>
    <row r="754" spans="1:17" ht="15.75" customHeight="1" x14ac:dyDescent="0.35">
      <c r="A754" s="40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</row>
    <row r="755" spans="1:17" ht="15.75" customHeight="1" x14ac:dyDescent="0.35">
      <c r="A755" s="40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</row>
    <row r="756" spans="1:17" ht="15.75" customHeight="1" x14ac:dyDescent="0.35">
      <c r="A756" s="40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</row>
    <row r="757" spans="1:17" ht="15.75" customHeight="1" x14ac:dyDescent="0.35">
      <c r="A757" s="41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1"/>
    </row>
    <row r="758" spans="1:17" ht="15.75" customHeight="1" x14ac:dyDescent="0.35">
      <c r="A758" s="41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1"/>
    </row>
    <row r="759" spans="1:17" ht="15.75" customHeight="1" x14ac:dyDescent="0.35">
      <c r="A759" s="41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1"/>
    </row>
    <row r="760" spans="1:17" ht="15.75" customHeight="1" x14ac:dyDescent="0.35">
      <c r="A760" s="41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1"/>
    </row>
    <row r="761" spans="1:17" ht="15.75" customHeight="1" x14ac:dyDescent="0.35">
      <c r="A761" s="41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1"/>
    </row>
    <row r="762" spans="1:17" ht="15.75" customHeight="1" x14ac:dyDescent="0.35">
      <c r="A762" s="41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1"/>
    </row>
    <row r="763" spans="1:17" ht="15.75" customHeight="1" x14ac:dyDescent="0.35">
      <c r="A763" s="41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1"/>
    </row>
    <row r="764" spans="1:17" ht="15.75" customHeight="1" x14ac:dyDescent="0.35">
      <c r="A764" s="41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1"/>
    </row>
    <row r="765" spans="1:17" ht="15.75" customHeight="1" x14ac:dyDescent="0.35">
      <c r="A765" s="41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1"/>
    </row>
    <row r="766" spans="1:17" ht="15.75" customHeight="1" x14ac:dyDescent="0.35">
      <c r="A766" s="41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1"/>
    </row>
    <row r="767" spans="1:17" ht="15.75" customHeight="1" x14ac:dyDescent="0.35">
      <c r="A767" s="41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1"/>
    </row>
    <row r="768" spans="1:17" ht="15.75" customHeight="1" x14ac:dyDescent="0.35">
      <c r="A768" s="41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1"/>
    </row>
    <row r="769" spans="1:17" ht="15.75" customHeight="1" x14ac:dyDescent="0.35">
      <c r="A769" s="41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1"/>
    </row>
    <row r="770" spans="1:17" ht="15.75" customHeight="1" x14ac:dyDescent="0.35">
      <c r="A770" s="41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1"/>
    </row>
    <row r="771" spans="1:17" ht="15.75" customHeight="1" x14ac:dyDescent="0.35">
      <c r="A771" s="41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1"/>
    </row>
    <row r="772" spans="1:17" ht="15.75" customHeight="1" x14ac:dyDescent="0.35">
      <c r="A772" s="41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1"/>
    </row>
    <row r="773" spans="1:17" ht="15.75" customHeight="1" x14ac:dyDescent="0.35">
      <c r="A773" s="41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1"/>
    </row>
    <row r="774" spans="1:17" ht="15.75" customHeight="1" x14ac:dyDescent="0.35">
      <c r="A774" s="41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1"/>
    </row>
    <row r="775" spans="1:17" ht="15.75" customHeight="1" x14ac:dyDescent="0.35">
      <c r="A775" s="41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1"/>
    </row>
    <row r="776" spans="1:17" ht="15.75" customHeight="1" x14ac:dyDescent="0.35">
      <c r="A776" s="41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1"/>
    </row>
    <row r="777" spans="1:17" ht="15.75" customHeight="1" x14ac:dyDescent="0.35">
      <c r="A777" s="41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1"/>
    </row>
    <row r="778" spans="1:17" ht="15.75" customHeight="1" x14ac:dyDescent="0.35">
      <c r="A778" s="41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1"/>
    </row>
    <row r="779" spans="1:17" ht="15.75" customHeight="1" x14ac:dyDescent="0.35">
      <c r="A779" s="41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1"/>
    </row>
    <row r="780" spans="1:17" ht="15.75" customHeight="1" x14ac:dyDescent="0.35">
      <c r="A780" s="41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1"/>
    </row>
    <row r="781" spans="1:17" ht="15.75" customHeight="1" x14ac:dyDescent="0.35">
      <c r="A781" s="41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1"/>
    </row>
    <row r="782" spans="1:17" ht="15.75" customHeight="1" x14ac:dyDescent="0.35">
      <c r="A782" s="41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1"/>
    </row>
    <row r="783" spans="1:17" ht="15.75" customHeight="1" x14ac:dyDescent="0.35">
      <c r="A783" s="41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1"/>
    </row>
    <row r="784" spans="1:17" ht="15.75" customHeight="1" x14ac:dyDescent="0.35">
      <c r="A784" s="41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1"/>
    </row>
    <row r="785" spans="1:17" ht="15.75" customHeight="1" x14ac:dyDescent="0.35">
      <c r="A785" s="41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1"/>
    </row>
    <row r="786" spans="1:17" ht="15.75" customHeight="1" x14ac:dyDescent="0.35">
      <c r="A786" s="41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1"/>
    </row>
    <row r="787" spans="1:17" ht="15.75" customHeight="1" x14ac:dyDescent="0.35">
      <c r="A787" s="41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1"/>
    </row>
    <row r="788" spans="1:17" ht="15.75" customHeight="1" x14ac:dyDescent="0.35">
      <c r="A788" s="41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1"/>
    </row>
    <row r="789" spans="1:17" ht="15.75" customHeight="1" x14ac:dyDescent="0.35">
      <c r="A789" s="41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1"/>
    </row>
    <row r="790" spans="1:17" ht="15.75" customHeight="1" x14ac:dyDescent="0.35">
      <c r="A790" s="41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1"/>
    </row>
    <row r="791" spans="1:17" ht="15.75" customHeight="1" x14ac:dyDescent="0.35">
      <c r="A791" s="41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1"/>
    </row>
    <row r="792" spans="1:17" ht="15.75" customHeight="1" x14ac:dyDescent="0.35">
      <c r="A792" s="41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1"/>
    </row>
    <row r="793" spans="1:17" ht="15.75" customHeight="1" x14ac:dyDescent="0.35">
      <c r="A793" s="41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1"/>
    </row>
    <row r="794" spans="1:17" ht="15.75" customHeight="1" x14ac:dyDescent="0.35">
      <c r="A794" s="41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1"/>
    </row>
    <row r="795" spans="1:17" ht="15.75" customHeight="1" x14ac:dyDescent="0.35">
      <c r="A795" s="41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1"/>
    </row>
    <row r="796" spans="1:17" ht="15.75" customHeight="1" x14ac:dyDescent="0.35">
      <c r="A796" s="41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1"/>
    </row>
    <row r="797" spans="1:17" ht="15.75" customHeight="1" x14ac:dyDescent="0.35">
      <c r="A797" s="41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1"/>
    </row>
    <row r="798" spans="1:17" ht="15.75" customHeight="1" x14ac:dyDescent="0.35">
      <c r="A798" s="41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1"/>
    </row>
    <row r="799" spans="1:17" ht="15.75" customHeight="1" x14ac:dyDescent="0.35">
      <c r="A799" s="41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1"/>
    </row>
    <row r="800" spans="1:17" ht="15.75" customHeight="1" x14ac:dyDescent="0.35">
      <c r="A800" s="41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1"/>
    </row>
    <row r="801" spans="1:17" ht="15.75" customHeight="1" x14ac:dyDescent="0.35">
      <c r="A801" s="41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1"/>
    </row>
    <row r="802" spans="1:17" ht="15.75" customHeight="1" x14ac:dyDescent="0.35">
      <c r="A802" s="41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1"/>
    </row>
    <row r="803" spans="1:17" ht="15.75" customHeight="1" x14ac:dyDescent="0.35">
      <c r="A803" s="41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1"/>
    </row>
    <row r="804" spans="1:17" ht="15.75" customHeight="1" x14ac:dyDescent="0.35">
      <c r="A804" s="41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1"/>
    </row>
    <row r="805" spans="1:17" ht="15.75" customHeight="1" x14ac:dyDescent="0.35">
      <c r="A805" s="41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1"/>
    </row>
    <row r="806" spans="1:17" ht="15.75" customHeight="1" x14ac:dyDescent="0.35">
      <c r="A806" s="41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1"/>
    </row>
    <row r="807" spans="1:17" ht="15.75" customHeight="1" x14ac:dyDescent="0.35">
      <c r="A807" s="41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1"/>
    </row>
    <row r="808" spans="1:17" ht="15.75" customHeight="1" x14ac:dyDescent="0.35">
      <c r="A808" s="41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1"/>
    </row>
    <row r="809" spans="1:17" ht="15.75" customHeight="1" x14ac:dyDescent="0.35">
      <c r="A809" s="41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1"/>
    </row>
    <row r="810" spans="1:17" ht="15.75" customHeight="1" x14ac:dyDescent="0.35">
      <c r="A810" s="41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1"/>
    </row>
    <row r="811" spans="1:17" ht="15.75" customHeight="1" x14ac:dyDescent="0.35">
      <c r="A811" s="41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1"/>
    </row>
    <row r="812" spans="1:17" ht="15.75" customHeight="1" x14ac:dyDescent="0.35">
      <c r="A812" s="41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1"/>
    </row>
    <row r="813" spans="1:17" ht="15.75" customHeight="1" x14ac:dyDescent="0.35">
      <c r="A813" s="41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1"/>
    </row>
    <row r="814" spans="1:17" ht="15.75" customHeight="1" x14ac:dyDescent="0.35">
      <c r="A814" s="41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1"/>
    </row>
    <row r="815" spans="1:17" ht="15.75" customHeight="1" x14ac:dyDescent="0.35">
      <c r="A815" s="41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1"/>
    </row>
    <row r="816" spans="1:17" ht="15.75" customHeight="1" x14ac:dyDescent="0.35">
      <c r="A816" s="41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1"/>
    </row>
    <row r="817" spans="1:17" ht="15.75" customHeight="1" x14ac:dyDescent="0.35">
      <c r="A817" s="41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1"/>
    </row>
    <row r="818" spans="1:17" ht="15.75" customHeight="1" x14ac:dyDescent="0.35">
      <c r="A818" s="41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1"/>
    </row>
    <row r="819" spans="1:17" ht="15.75" customHeight="1" x14ac:dyDescent="0.35">
      <c r="A819" s="41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1"/>
    </row>
    <row r="820" spans="1:17" ht="15.75" customHeight="1" x14ac:dyDescent="0.35">
      <c r="A820" s="41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1"/>
    </row>
    <row r="821" spans="1:17" ht="15.75" customHeight="1" x14ac:dyDescent="0.35">
      <c r="A821" s="41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1"/>
    </row>
    <row r="822" spans="1:17" ht="15.75" customHeight="1" x14ac:dyDescent="0.35">
      <c r="A822" s="41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1"/>
    </row>
    <row r="823" spans="1:17" ht="15.75" customHeight="1" x14ac:dyDescent="0.35">
      <c r="A823" s="41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1"/>
    </row>
    <row r="824" spans="1:17" ht="15.75" customHeight="1" x14ac:dyDescent="0.35">
      <c r="A824" s="41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1"/>
    </row>
    <row r="825" spans="1:17" ht="15.75" customHeight="1" x14ac:dyDescent="0.35">
      <c r="A825" s="41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1"/>
    </row>
    <row r="826" spans="1:17" ht="15.75" customHeight="1" x14ac:dyDescent="0.35">
      <c r="A826" s="41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1"/>
    </row>
    <row r="827" spans="1:17" ht="15.75" customHeight="1" x14ac:dyDescent="0.35">
      <c r="A827" s="41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1"/>
    </row>
    <row r="828" spans="1:17" ht="15.75" customHeight="1" x14ac:dyDescent="0.35">
      <c r="A828" s="41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1"/>
    </row>
    <row r="829" spans="1:17" ht="15.75" customHeight="1" x14ac:dyDescent="0.35">
      <c r="A829" s="41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1"/>
    </row>
    <row r="830" spans="1:17" ht="15.75" customHeight="1" x14ac:dyDescent="0.35">
      <c r="A830" s="41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1"/>
    </row>
    <row r="831" spans="1:17" ht="15.75" customHeight="1" x14ac:dyDescent="0.35">
      <c r="A831" s="41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1"/>
    </row>
    <row r="832" spans="1:17" ht="15.75" customHeight="1" x14ac:dyDescent="0.35">
      <c r="A832" s="41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1"/>
    </row>
    <row r="833" spans="1:17" ht="15.75" customHeight="1" x14ac:dyDescent="0.35">
      <c r="A833" s="41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1"/>
    </row>
    <row r="834" spans="1:17" ht="15.75" customHeight="1" x14ac:dyDescent="0.35">
      <c r="A834" s="41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1"/>
    </row>
    <row r="835" spans="1:17" ht="15.75" customHeight="1" x14ac:dyDescent="0.35">
      <c r="A835" s="41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1"/>
    </row>
    <row r="836" spans="1:17" ht="15.75" customHeight="1" x14ac:dyDescent="0.35">
      <c r="A836" s="41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1"/>
    </row>
    <row r="837" spans="1:17" ht="15.75" customHeight="1" x14ac:dyDescent="0.35">
      <c r="A837" s="41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1"/>
    </row>
    <row r="838" spans="1:17" ht="15.75" customHeight="1" x14ac:dyDescent="0.35">
      <c r="A838" s="41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1"/>
    </row>
    <row r="839" spans="1:17" ht="15.75" customHeight="1" x14ac:dyDescent="0.35">
      <c r="A839" s="41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1"/>
    </row>
    <row r="840" spans="1:17" ht="15.75" customHeight="1" x14ac:dyDescent="0.35">
      <c r="A840" s="41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1"/>
    </row>
    <row r="841" spans="1:17" ht="15.75" customHeight="1" x14ac:dyDescent="0.35">
      <c r="A841" s="41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1"/>
    </row>
    <row r="842" spans="1:17" ht="15.75" customHeight="1" x14ac:dyDescent="0.35">
      <c r="A842" s="41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1"/>
    </row>
    <row r="843" spans="1:17" ht="15.75" customHeight="1" x14ac:dyDescent="0.35">
      <c r="A843" s="41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1"/>
    </row>
    <row r="844" spans="1:17" ht="15.75" customHeight="1" x14ac:dyDescent="0.35">
      <c r="A844" s="41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1"/>
    </row>
    <row r="845" spans="1:17" ht="15.75" customHeight="1" x14ac:dyDescent="0.35">
      <c r="A845" s="41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1"/>
    </row>
    <row r="846" spans="1:17" ht="15.75" customHeight="1" x14ac:dyDescent="0.35">
      <c r="A846" s="41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1"/>
    </row>
    <row r="847" spans="1:17" ht="15.75" customHeight="1" x14ac:dyDescent="0.35">
      <c r="A847" s="41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1"/>
    </row>
    <row r="848" spans="1:17" ht="15.75" customHeight="1" x14ac:dyDescent="0.35">
      <c r="A848" s="41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1"/>
    </row>
    <row r="849" spans="1:17" ht="15.75" customHeight="1" x14ac:dyDescent="0.35">
      <c r="A849" s="41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1"/>
    </row>
    <row r="850" spans="1:17" ht="15.75" customHeight="1" x14ac:dyDescent="0.35">
      <c r="A850" s="41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1"/>
    </row>
    <row r="851" spans="1:17" ht="15.75" customHeight="1" x14ac:dyDescent="0.35">
      <c r="A851" s="41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1"/>
    </row>
    <row r="852" spans="1:17" ht="15.75" customHeight="1" x14ac:dyDescent="0.35">
      <c r="A852" s="41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1"/>
    </row>
    <row r="853" spans="1:17" ht="15.75" customHeight="1" x14ac:dyDescent="0.35">
      <c r="A853" s="41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1"/>
    </row>
    <row r="854" spans="1:17" ht="15.75" customHeight="1" x14ac:dyDescent="0.35">
      <c r="A854" s="41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1"/>
    </row>
    <row r="855" spans="1:17" ht="15.75" customHeight="1" x14ac:dyDescent="0.35">
      <c r="A855" s="41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1"/>
    </row>
    <row r="856" spans="1:17" ht="15.75" customHeight="1" x14ac:dyDescent="0.35">
      <c r="A856" s="41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1"/>
    </row>
    <row r="857" spans="1:17" ht="15.75" customHeight="1" x14ac:dyDescent="0.35">
      <c r="A857" s="41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1"/>
    </row>
    <row r="858" spans="1:17" ht="15.75" customHeight="1" x14ac:dyDescent="0.35">
      <c r="A858" s="41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1"/>
    </row>
    <row r="859" spans="1:17" ht="15.75" customHeight="1" x14ac:dyDescent="0.35">
      <c r="A859" s="41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1"/>
    </row>
    <row r="860" spans="1:17" ht="15.75" customHeight="1" x14ac:dyDescent="0.35">
      <c r="A860" s="41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1"/>
    </row>
    <row r="861" spans="1:17" ht="15.75" customHeight="1" x14ac:dyDescent="0.35">
      <c r="A861" s="41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1"/>
    </row>
    <row r="862" spans="1:17" ht="15.75" customHeight="1" x14ac:dyDescent="0.35">
      <c r="A862" s="41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1"/>
    </row>
    <row r="863" spans="1:17" ht="15.75" customHeight="1" x14ac:dyDescent="0.35">
      <c r="A863" s="41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1"/>
    </row>
    <row r="864" spans="1:17" ht="15.75" customHeight="1" x14ac:dyDescent="0.35">
      <c r="A864" s="41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1"/>
    </row>
    <row r="865" spans="1:17" ht="15.75" customHeight="1" x14ac:dyDescent="0.35">
      <c r="A865" s="41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1"/>
    </row>
    <row r="866" spans="1:17" ht="15.75" customHeight="1" x14ac:dyDescent="0.35">
      <c r="A866" s="41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1"/>
    </row>
    <row r="867" spans="1:17" ht="15.75" customHeight="1" x14ac:dyDescent="0.35">
      <c r="A867" s="41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1"/>
    </row>
    <row r="868" spans="1:17" ht="15.75" customHeight="1" x14ac:dyDescent="0.35">
      <c r="A868" s="41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1"/>
    </row>
    <row r="869" spans="1:17" ht="15.75" customHeight="1" x14ac:dyDescent="0.35">
      <c r="A869" s="41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1"/>
    </row>
    <row r="870" spans="1:17" ht="15.75" customHeight="1" x14ac:dyDescent="0.35">
      <c r="A870" s="41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1"/>
    </row>
    <row r="871" spans="1:17" ht="15.75" customHeight="1" x14ac:dyDescent="0.35">
      <c r="A871" s="41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1"/>
    </row>
    <row r="872" spans="1:17" ht="15.75" customHeight="1" x14ac:dyDescent="0.35">
      <c r="A872" s="41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1"/>
    </row>
    <row r="873" spans="1:17" ht="15.75" customHeight="1" x14ac:dyDescent="0.35">
      <c r="A873" s="41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1"/>
    </row>
    <row r="874" spans="1:17" ht="15.75" customHeight="1" x14ac:dyDescent="0.35">
      <c r="A874" s="41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1"/>
    </row>
    <row r="875" spans="1:17" ht="15.75" customHeight="1" x14ac:dyDescent="0.35">
      <c r="A875" s="41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1"/>
    </row>
    <row r="876" spans="1:17" ht="15.75" customHeight="1" x14ac:dyDescent="0.35">
      <c r="A876" s="41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1"/>
    </row>
    <row r="877" spans="1:17" ht="15.75" customHeight="1" x14ac:dyDescent="0.35">
      <c r="A877" s="41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1"/>
    </row>
    <row r="878" spans="1:17" ht="15.75" customHeight="1" x14ac:dyDescent="0.35">
      <c r="A878" s="41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1"/>
    </row>
    <row r="879" spans="1:17" ht="15.75" customHeight="1" x14ac:dyDescent="0.35">
      <c r="A879" s="41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1"/>
    </row>
    <row r="880" spans="1:17" ht="15.75" customHeight="1" x14ac:dyDescent="0.35">
      <c r="A880" s="41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1"/>
    </row>
    <row r="881" spans="1:17" ht="15.75" customHeight="1" x14ac:dyDescent="0.35">
      <c r="A881" s="41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1"/>
    </row>
    <row r="882" spans="1:17" ht="15.75" customHeight="1" x14ac:dyDescent="0.35">
      <c r="A882" s="41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1"/>
    </row>
    <row r="883" spans="1:17" ht="15.75" customHeight="1" x14ac:dyDescent="0.35">
      <c r="A883" s="41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1"/>
    </row>
    <row r="884" spans="1:17" ht="15.75" customHeight="1" x14ac:dyDescent="0.35">
      <c r="A884" s="41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1"/>
    </row>
    <row r="885" spans="1:17" ht="15.75" customHeight="1" x14ac:dyDescent="0.35">
      <c r="A885" s="41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1"/>
    </row>
    <row r="886" spans="1:17" ht="15.75" customHeight="1" x14ac:dyDescent="0.35">
      <c r="A886" s="41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1"/>
    </row>
    <row r="887" spans="1:17" ht="15.75" customHeight="1" x14ac:dyDescent="0.35">
      <c r="A887" s="41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1"/>
    </row>
    <row r="888" spans="1:17" ht="15.75" customHeight="1" x14ac:dyDescent="0.35">
      <c r="A888" s="41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1"/>
    </row>
    <row r="889" spans="1:17" ht="15.75" customHeight="1" x14ac:dyDescent="0.35">
      <c r="A889" s="41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1"/>
    </row>
    <row r="890" spans="1:17" ht="15.75" customHeight="1" x14ac:dyDescent="0.35">
      <c r="A890" s="41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1"/>
    </row>
    <row r="891" spans="1:17" ht="15.75" customHeight="1" x14ac:dyDescent="0.35">
      <c r="A891" s="41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1"/>
    </row>
  </sheetData>
  <autoFilter ref="B4:Q14" xr:uid="{00000000-0009-0000-0000-00000D000000}">
    <sortState xmlns:xlrd2="http://schemas.microsoft.com/office/spreadsheetml/2017/richdata2" ref="B5:Q14">
      <sortCondition descending="1" ref="E4:E14"/>
      <sortCondition ref="C4:C14"/>
      <sortCondition ref="B4:B14"/>
    </sortState>
  </autoFilter>
  <mergeCells count="14">
    <mergeCell ref="N2:P2"/>
    <mergeCell ref="A1:B1"/>
    <mergeCell ref="C1:Q1"/>
    <mergeCell ref="A2:A3"/>
    <mergeCell ref="B2:B3"/>
    <mergeCell ref="C2:C3"/>
    <mergeCell ref="D2:D3"/>
    <mergeCell ref="E2:E3"/>
    <mergeCell ref="Q2:Q3"/>
    <mergeCell ref="F2:F3"/>
    <mergeCell ref="G2:I2"/>
    <mergeCell ref="J2:K2"/>
    <mergeCell ref="L2:L3"/>
    <mergeCell ref="M2:M3"/>
  </mergeCells>
  <dataValidations count="4">
    <dataValidation type="list" allowBlank="1" showErrorMessage="1" sqref="M5:M14" xr:uid="{00000000-0002-0000-0D00-000000000000}">
      <formula1>"A,B"</formula1>
    </dataValidation>
    <dataValidation type="list" allowBlank="1" showErrorMessage="1" sqref="F5:F14" xr:uid="{00000000-0002-0000-0D00-000001000000}">
      <formula1>"Central,Linda Vista,Norte,Sur,Carazo,Masatepe,Granada,Estelí,Juigalpa,Otra"</formula1>
    </dataValidation>
    <dataValidation type="list" allowBlank="1" showErrorMessage="1" sqref="C5:C14" xr:uid="{00000000-0002-0000-0D00-000002000000}">
      <formula1>"Nivel 1,2"</formula1>
    </dataValidation>
    <dataValidation type="list" allowBlank="1" showErrorMessage="1" sqref="G5:K14" xr:uid="{00000000-0002-0000-0D00-000003000000}">
      <formula1>"X,A,T,J"</formula1>
    </dataValidation>
  </dataValidations>
  <pageMargins left="0.7" right="0.7" top="0.75" bottom="0.75" header="0" footer="0"/>
  <pageSetup paperSize="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"/>
  <sheetViews>
    <sheetView workbookViewId="0"/>
  </sheetViews>
  <sheetFormatPr defaultColWidth="10.07421875" defaultRowHeight="15" customHeight="1" x14ac:dyDescent="0.35"/>
  <sheetData>
    <row r="1" spans="1:3" ht="15" customHeight="1" x14ac:dyDescent="0.35">
      <c r="A1" s="83" t="str">
        <f ca="1">IFERROR(__xludf.DUMMYFUNCTION("ARRAYFORMULA(QUERY({
  IF(LEN(CAN!B4:B195), ""CANTO"", ), CAN!B4:B195, CAN!C4:C195;
  IF(LEN(EE!B4:B201), ""EMOCIONES"", ), EE!B4:B201, #REF!;
  IF(LEN(PIA!B4:B186), ""PIANO"", ), PIA!B4:B186, PIA!C4:C186;
  IF(LEN(BAT!B4:B188), ""BATERÍA"", ), BAT!B4:B18"&amp;"8, BAT!C4:C188;
  IF(LEN(GUI!B4:B189), ""GUITARRA"", ), GUI!B4:B189, GUI!C4:C189;
  IF(LEN(AP!B4:B190), ""ARTES PLÁSTICAS"", ), AP!B4:B190, AP!C4:C190;
  IF(LEN(DAN!B4:B190), ""DANZA"", ), DAN!B4:B190, DAN!C4:C190;
  IF(LEN(SON!B4:B190), ""SONIDO"", ), SO"&amp;"N!B4:B190, SON!C4:C190;
  IF(LEN(BAJ!B4:B188), ""BAJO"", ), BAJ!B4:B188, BAJ!C4:C188;
  IF(LEN(VIO!B4:B200), ""VIOLÍN"", ), VIO!B4:B200, VIO!C4:C200;
  IF(LEN(VM!B4:B200), ""VIENTO METAL"", ), VM!B4:B200, VM!C4:C200;
  IF(LEN(EYL!B4:B200), ""EMP. Y LID."""&amp;", ), EYL!B4:B200, #REF!;
  IF(LEN(DEP!B4:B195), ""DEPORTES"", ), DEP!B4:B195, DEP!E4:E195;
  IF(LEN(IDI!B4:B192), ""IDIOMAS"", ), IDI!B4:B192, IDI!E4:E192
}, ""select * where Col2 &lt;&gt; '' label Col1 'Curso', Col2 'Estudiante', Col3 'Categoría'"", 0))"),"#VALUE!")</f>
        <v>#VALUE!</v>
      </c>
      <c r="B1" s="83" t="s">
        <v>22</v>
      </c>
      <c r="C1" s="8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4"/>
  <sheetViews>
    <sheetView workbookViewId="0"/>
  </sheetViews>
  <sheetFormatPr defaultColWidth="10.07421875" defaultRowHeight="15" customHeight="1" x14ac:dyDescent="0.35"/>
  <sheetData>
    <row r="1" spans="1:3" ht="15" customHeight="1" x14ac:dyDescent="0.35">
      <c r="A1" s="88" t="s">
        <v>68</v>
      </c>
      <c r="B1" s="88" t="s">
        <v>72</v>
      </c>
      <c r="C1" s="89"/>
    </row>
    <row r="2" spans="1:3" ht="15" customHeight="1" x14ac:dyDescent="0.35">
      <c r="A2" s="88" t="s">
        <v>73</v>
      </c>
      <c r="B2" s="90" t="s">
        <v>74</v>
      </c>
      <c r="C2" s="91" t="s">
        <v>75</v>
      </c>
    </row>
    <row r="3" spans="1:3" ht="15" customHeight="1" x14ac:dyDescent="0.35">
      <c r="A3" s="90" t="s">
        <v>74</v>
      </c>
      <c r="B3" s="117"/>
      <c r="C3" s="118"/>
    </row>
    <row r="4" spans="1:3" ht="15" customHeight="1" x14ac:dyDescent="0.35">
      <c r="A4" s="92" t="s">
        <v>75</v>
      </c>
      <c r="B4" s="119"/>
      <c r="C4" s="1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L51"/>
  <sheetViews>
    <sheetView workbookViewId="0"/>
  </sheetViews>
  <sheetFormatPr defaultColWidth="10.07421875" defaultRowHeight="15" customHeight="1" x14ac:dyDescent="0.35"/>
  <cols>
    <col min="1" max="1" width="16.3828125" customWidth="1"/>
    <col min="8" max="8" width="13.23046875" customWidth="1"/>
  </cols>
  <sheetData>
    <row r="1" spans="1:12" ht="15" customHeight="1" x14ac:dyDescent="0.35">
      <c r="A1" s="115" t="s">
        <v>69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15" customHeight="1" x14ac:dyDescent="0.35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4" spans="1:12" ht="15" customHeight="1" x14ac:dyDescent="0.35">
      <c r="A4" s="114" t="s">
        <v>25</v>
      </c>
      <c r="B4" s="109"/>
      <c r="C4" s="109"/>
      <c r="D4" s="109"/>
      <c r="E4" s="111"/>
      <c r="G4" s="114" t="s">
        <v>21</v>
      </c>
      <c r="H4" s="109"/>
      <c r="I4" s="111"/>
    </row>
    <row r="5" spans="1:12" ht="15" customHeight="1" x14ac:dyDescent="0.35">
      <c r="A5" s="88" t="s">
        <v>22</v>
      </c>
      <c r="B5" s="88" t="s">
        <v>72</v>
      </c>
      <c r="C5" s="89"/>
      <c r="D5" s="84"/>
      <c r="E5" s="85"/>
      <c r="G5" s="88" t="s">
        <v>22</v>
      </c>
      <c r="H5" s="88" t="s">
        <v>72</v>
      </c>
      <c r="I5" s="89"/>
    </row>
    <row r="6" spans="1:12" ht="15" customHeight="1" x14ac:dyDescent="0.35">
      <c r="A6" s="88" t="s">
        <v>73</v>
      </c>
      <c r="B6" s="90" t="s">
        <v>74</v>
      </c>
      <c r="C6" s="91" t="s">
        <v>75</v>
      </c>
      <c r="D6" s="86"/>
      <c r="E6" s="86"/>
      <c r="G6" s="88" t="s">
        <v>73</v>
      </c>
      <c r="H6" s="90" t="s">
        <v>74</v>
      </c>
      <c r="I6" s="91" t="s">
        <v>75</v>
      </c>
    </row>
    <row r="7" spans="1:12" ht="15" customHeight="1" x14ac:dyDescent="0.35">
      <c r="A7" s="90" t="s">
        <v>74</v>
      </c>
      <c r="B7" s="117"/>
      <c r="C7" s="118"/>
      <c r="D7" s="86"/>
      <c r="E7" s="86"/>
      <c r="G7" s="90" t="s">
        <v>74</v>
      </c>
      <c r="H7" s="117"/>
      <c r="I7" s="118"/>
    </row>
    <row r="8" spans="1:12" ht="15" customHeight="1" x14ac:dyDescent="0.35">
      <c r="A8" s="92" t="s">
        <v>75</v>
      </c>
      <c r="B8" s="119"/>
      <c r="C8" s="120"/>
      <c r="D8" s="86"/>
      <c r="E8" s="86"/>
      <c r="G8" s="92" t="s">
        <v>75</v>
      </c>
      <c r="H8" s="119"/>
      <c r="I8" s="120"/>
    </row>
    <row r="11" spans="1:12" ht="15" customHeight="1" x14ac:dyDescent="0.35">
      <c r="F11" s="87"/>
    </row>
    <row r="12" spans="1:12" ht="15" customHeight="1" x14ac:dyDescent="0.35">
      <c r="A12" s="114" t="s">
        <v>20</v>
      </c>
      <c r="B12" s="109"/>
      <c r="C12" s="109"/>
      <c r="D12" s="109"/>
      <c r="E12" s="111"/>
      <c r="G12" s="114" t="s">
        <v>1</v>
      </c>
      <c r="H12" s="109"/>
      <c r="I12" s="109"/>
      <c r="J12" s="109"/>
      <c r="K12" s="111"/>
    </row>
    <row r="13" spans="1:12" ht="15" customHeight="1" x14ac:dyDescent="0.35">
      <c r="A13" s="88" t="s">
        <v>22</v>
      </c>
      <c r="B13" s="88" t="s">
        <v>72</v>
      </c>
      <c r="C13" s="89"/>
      <c r="D13" s="84"/>
      <c r="E13" s="85"/>
      <c r="G13" s="88" t="s">
        <v>22</v>
      </c>
      <c r="H13" s="88" t="s">
        <v>72</v>
      </c>
      <c r="I13" s="89"/>
      <c r="J13" s="84"/>
      <c r="K13" s="85"/>
    </row>
    <row r="14" spans="1:12" ht="15" customHeight="1" x14ac:dyDescent="0.35">
      <c r="A14" s="88" t="s">
        <v>73</v>
      </c>
      <c r="B14" s="90" t="s">
        <v>74</v>
      </c>
      <c r="C14" s="91" t="s">
        <v>75</v>
      </c>
      <c r="D14" s="86"/>
      <c r="E14" s="86"/>
      <c r="G14" s="88" t="s">
        <v>73</v>
      </c>
      <c r="H14" s="90" t="s">
        <v>74</v>
      </c>
      <c r="I14" s="91" t="s">
        <v>75</v>
      </c>
      <c r="J14" s="86"/>
      <c r="K14" s="86"/>
    </row>
    <row r="15" spans="1:12" ht="15" customHeight="1" x14ac:dyDescent="0.35">
      <c r="A15" s="90" t="s">
        <v>74</v>
      </c>
      <c r="B15" s="117"/>
      <c r="C15" s="118"/>
      <c r="D15" s="86"/>
      <c r="E15" s="86"/>
      <c r="G15" s="90" t="s">
        <v>74</v>
      </c>
      <c r="H15" s="117"/>
      <c r="I15" s="118"/>
      <c r="J15" s="86"/>
      <c r="K15" s="86"/>
    </row>
    <row r="16" spans="1:12" ht="15" customHeight="1" x14ac:dyDescent="0.35">
      <c r="A16" s="92" t="s">
        <v>75</v>
      </c>
      <c r="B16" s="119"/>
      <c r="C16" s="120"/>
      <c r="D16" s="86"/>
      <c r="E16" s="86"/>
      <c r="G16" s="92" t="s">
        <v>75</v>
      </c>
      <c r="H16" s="119"/>
      <c r="I16" s="120"/>
      <c r="J16" s="86"/>
      <c r="K16" s="86"/>
    </row>
    <row r="19" spans="1:11" ht="15.5" x14ac:dyDescent="0.35">
      <c r="A19" s="114" t="s">
        <v>24</v>
      </c>
      <c r="B19" s="109"/>
      <c r="C19" s="109"/>
      <c r="D19" s="109"/>
      <c r="E19" s="111"/>
      <c r="G19" s="114" t="s">
        <v>50</v>
      </c>
      <c r="H19" s="109"/>
      <c r="I19" s="109"/>
      <c r="J19" s="111"/>
      <c r="K19" s="87"/>
    </row>
    <row r="20" spans="1:11" ht="15.5" x14ac:dyDescent="0.35">
      <c r="A20" s="88" t="s">
        <v>22</v>
      </c>
      <c r="B20" s="88" t="s">
        <v>72</v>
      </c>
      <c r="C20" s="89"/>
      <c r="D20" s="84"/>
      <c r="E20" s="85"/>
      <c r="G20" s="88" t="s">
        <v>22</v>
      </c>
      <c r="H20" s="88" t="s">
        <v>72</v>
      </c>
      <c r="I20" s="89"/>
      <c r="J20" s="85"/>
    </row>
    <row r="21" spans="1:11" ht="15.5" x14ac:dyDescent="0.35">
      <c r="A21" s="88" t="s">
        <v>73</v>
      </c>
      <c r="B21" s="90" t="s">
        <v>74</v>
      </c>
      <c r="C21" s="91" t="s">
        <v>75</v>
      </c>
      <c r="D21" s="86"/>
      <c r="E21" s="86"/>
      <c r="G21" s="88" t="s">
        <v>73</v>
      </c>
      <c r="H21" s="90" t="s">
        <v>74</v>
      </c>
      <c r="I21" s="91" t="s">
        <v>75</v>
      </c>
      <c r="J21" s="86"/>
    </row>
    <row r="22" spans="1:11" ht="15.5" x14ac:dyDescent="0.35">
      <c r="A22" s="90" t="s">
        <v>74</v>
      </c>
      <c r="B22" s="117"/>
      <c r="C22" s="118"/>
      <c r="D22" s="86"/>
      <c r="E22" s="86"/>
      <c r="G22" s="90" t="s">
        <v>74</v>
      </c>
      <c r="H22" s="117"/>
      <c r="I22" s="118"/>
      <c r="J22" s="86"/>
    </row>
    <row r="23" spans="1:11" ht="15.5" x14ac:dyDescent="0.35">
      <c r="A23" s="92" t="s">
        <v>75</v>
      </c>
      <c r="B23" s="119"/>
      <c r="C23" s="120"/>
      <c r="D23" s="86"/>
      <c r="E23" s="86"/>
      <c r="G23" s="92" t="s">
        <v>75</v>
      </c>
      <c r="H23" s="119"/>
      <c r="I23" s="120"/>
      <c r="J23" s="86"/>
    </row>
    <row r="26" spans="1:11" ht="15.5" x14ac:dyDescent="0.35">
      <c r="A26" s="114" t="s">
        <v>70</v>
      </c>
      <c r="B26" s="109"/>
      <c r="C26" s="111"/>
      <c r="D26" s="87"/>
      <c r="E26" s="87"/>
      <c r="G26" s="114" t="s">
        <v>71</v>
      </c>
      <c r="H26" s="109"/>
      <c r="I26" s="109"/>
      <c r="J26" s="111"/>
      <c r="K26" s="87"/>
    </row>
    <row r="27" spans="1:11" ht="15.5" x14ac:dyDescent="0.35">
      <c r="A27" s="88" t="s">
        <v>22</v>
      </c>
      <c r="B27" s="88" t="s">
        <v>72</v>
      </c>
      <c r="C27" s="89"/>
      <c r="G27" s="88" t="s">
        <v>22</v>
      </c>
      <c r="H27" s="88" t="s">
        <v>72</v>
      </c>
      <c r="I27" s="89"/>
      <c r="J27" s="85"/>
    </row>
    <row r="28" spans="1:11" ht="15.5" x14ac:dyDescent="0.35">
      <c r="A28" s="88" t="s">
        <v>73</v>
      </c>
      <c r="B28" s="90" t="s">
        <v>74</v>
      </c>
      <c r="C28" s="91" t="s">
        <v>75</v>
      </c>
      <c r="G28" s="88" t="s">
        <v>73</v>
      </c>
      <c r="H28" s="90" t="s">
        <v>74</v>
      </c>
      <c r="I28" s="91" t="s">
        <v>75</v>
      </c>
      <c r="J28" s="86"/>
    </row>
    <row r="29" spans="1:11" ht="15.5" x14ac:dyDescent="0.35">
      <c r="A29" s="90" t="s">
        <v>74</v>
      </c>
      <c r="B29" s="117"/>
      <c r="C29" s="118"/>
      <c r="G29" s="90" t="s">
        <v>74</v>
      </c>
      <c r="H29" s="117"/>
      <c r="I29" s="118"/>
      <c r="J29" s="86"/>
    </row>
    <row r="30" spans="1:11" ht="15.5" x14ac:dyDescent="0.35">
      <c r="A30" s="92" t="s">
        <v>75</v>
      </c>
      <c r="B30" s="119"/>
      <c r="C30" s="120"/>
      <c r="G30" s="92" t="s">
        <v>75</v>
      </c>
      <c r="H30" s="119"/>
      <c r="I30" s="120"/>
      <c r="J30" s="86"/>
    </row>
    <row r="33" spans="1:11" ht="15.5" x14ac:dyDescent="0.35">
      <c r="A33" s="114" t="s">
        <v>17</v>
      </c>
      <c r="B33" s="109"/>
      <c r="C33" s="109"/>
      <c r="D33" s="109"/>
      <c r="E33" s="111"/>
      <c r="G33" s="114" t="s">
        <v>47</v>
      </c>
      <c r="H33" s="109"/>
      <c r="I33" s="109"/>
      <c r="J33" s="109"/>
      <c r="K33" s="111"/>
    </row>
    <row r="34" spans="1:11" ht="15.5" x14ac:dyDescent="0.35">
      <c r="A34" s="88" t="s">
        <v>22</v>
      </c>
      <c r="B34" s="88" t="s">
        <v>72</v>
      </c>
      <c r="C34" s="89"/>
      <c r="D34" s="84"/>
      <c r="E34" s="85"/>
      <c r="G34" s="88" t="s">
        <v>22</v>
      </c>
      <c r="H34" s="88" t="s">
        <v>72</v>
      </c>
      <c r="I34" s="89"/>
      <c r="J34" s="84"/>
      <c r="K34" s="85"/>
    </row>
    <row r="35" spans="1:11" ht="15.5" x14ac:dyDescent="0.35">
      <c r="A35" s="88" t="s">
        <v>73</v>
      </c>
      <c r="B35" s="90" t="s">
        <v>74</v>
      </c>
      <c r="C35" s="91" t="s">
        <v>75</v>
      </c>
      <c r="D35" s="86"/>
      <c r="E35" s="86"/>
      <c r="G35" s="88" t="s">
        <v>73</v>
      </c>
      <c r="H35" s="90" t="s">
        <v>74</v>
      </c>
      <c r="I35" s="91" t="s">
        <v>75</v>
      </c>
      <c r="J35" s="86"/>
      <c r="K35" s="86"/>
    </row>
    <row r="36" spans="1:11" ht="15.5" x14ac:dyDescent="0.35">
      <c r="A36" s="90" t="s">
        <v>74</v>
      </c>
      <c r="B36" s="117"/>
      <c r="C36" s="118"/>
      <c r="D36" s="86"/>
      <c r="E36" s="86"/>
      <c r="G36" s="90" t="s">
        <v>74</v>
      </c>
      <c r="H36" s="117"/>
      <c r="I36" s="118"/>
      <c r="J36" s="86"/>
      <c r="K36" s="86"/>
    </row>
    <row r="37" spans="1:11" ht="15.5" x14ac:dyDescent="0.35">
      <c r="A37" s="92" t="s">
        <v>75</v>
      </c>
      <c r="B37" s="119"/>
      <c r="C37" s="120"/>
      <c r="D37" s="86"/>
      <c r="E37" s="86"/>
      <c r="G37" s="92" t="s">
        <v>75</v>
      </c>
      <c r="H37" s="119"/>
      <c r="I37" s="120"/>
      <c r="J37" s="86"/>
      <c r="K37" s="86"/>
    </row>
    <row r="40" spans="1:11" ht="15.5" x14ac:dyDescent="0.35">
      <c r="A40" s="114" t="s">
        <v>14</v>
      </c>
      <c r="B40" s="109"/>
      <c r="C40" s="109"/>
      <c r="D40" s="109"/>
      <c r="E40" s="111"/>
      <c r="G40" s="114" t="s">
        <v>23</v>
      </c>
      <c r="H40" s="109"/>
      <c r="I40" s="111"/>
      <c r="J40" s="87"/>
      <c r="K40" s="87"/>
    </row>
    <row r="41" spans="1:11" ht="15.5" x14ac:dyDescent="0.35">
      <c r="A41" s="88" t="s">
        <v>22</v>
      </c>
      <c r="B41" s="88" t="s">
        <v>72</v>
      </c>
      <c r="C41" s="89"/>
      <c r="D41" s="84"/>
      <c r="E41" s="85"/>
      <c r="G41" s="88" t="s">
        <v>22</v>
      </c>
      <c r="H41" s="88" t="s">
        <v>72</v>
      </c>
      <c r="I41" s="89"/>
    </row>
    <row r="42" spans="1:11" ht="15.5" x14ac:dyDescent="0.35">
      <c r="A42" s="88" t="s">
        <v>73</v>
      </c>
      <c r="B42" s="90" t="s">
        <v>74</v>
      </c>
      <c r="C42" s="91" t="s">
        <v>75</v>
      </c>
      <c r="D42" s="86"/>
      <c r="E42" s="86"/>
      <c r="G42" s="88" t="s">
        <v>73</v>
      </c>
      <c r="H42" s="90" t="s">
        <v>74</v>
      </c>
      <c r="I42" s="91" t="s">
        <v>75</v>
      </c>
    </row>
    <row r="43" spans="1:11" ht="15.5" x14ac:dyDescent="0.35">
      <c r="A43" s="90" t="s">
        <v>74</v>
      </c>
      <c r="B43" s="117"/>
      <c r="C43" s="118"/>
      <c r="D43" s="86"/>
      <c r="E43" s="86"/>
      <c r="G43" s="90" t="s">
        <v>74</v>
      </c>
      <c r="H43" s="117"/>
      <c r="I43" s="118"/>
    </row>
    <row r="44" spans="1:11" ht="15.5" x14ac:dyDescent="0.35">
      <c r="A44" s="92" t="s">
        <v>75</v>
      </c>
      <c r="B44" s="119"/>
      <c r="C44" s="120"/>
      <c r="D44" s="86"/>
      <c r="E44" s="86"/>
      <c r="G44" s="92" t="s">
        <v>75</v>
      </c>
      <c r="H44" s="119"/>
      <c r="I44" s="120"/>
    </row>
    <row r="47" spans="1:11" ht="15.5" x14ac:dyDescent="0.35">
      <c r="A47" s="114" t="s">
        <v>62</v>
      </c>
      <c r="B47" s="109"/>
      <c r="C47" s="111"/>
      <c r="D47" s="87"/>
      <c r="E47" s="87"/>
    </row>
    <row r="48" spans="1:11" ht="15.5" x14ac:dyDescent="0.35">
      <c r="A48" s="88" t="s">
        <v>22</v>
      </c>
      <c r="B48" s="88" t="s">
        <v>72</v>
      </c>
      <c r="C48" s="89"/>
    </row>
    <row r="49" spans="1:3" ht="15.5" x14ac:dyDescent="0.35">
      <c r="A49" s="88" t="s">
        <v>73</v>
      </c>
      <c r="B49" s="90" t="s">
        <v>74</v>
      </c>
      <c r="C49" s="91" t="s">
        <v>75</v>
      </c>
    </row>
    <row r="50" spans="1:3" ht="15.5" x14ac:dyDescent="0.35">
      <c r="A50" s="90" t="s">
        <v>74</v>
      </c>
      <c r="B50" s="117"/>
      <c r="C50" s="118"/>
    </row>
    <row r="51" spans="1:3" ht="15.5" x14ac:dyDescent="0.35">
      <c r="A51" s="92" t="s">
        <v>75</v>
      </c>
      <c r="B51" s="119"/>
      <c r="C51" s="120"/>
    </row>
  </sheetData>
  <mergeCells count="14">
    <mergeCell ref="A47:C47"/>
    <mergeCell ref="A1:L2"/>
    <mergeCell ref="A4:E4"/>
    <mergeCell ref="G4:I4"/>
    <mergeCell ref="A12:E12"/>
    <mergeCell ref="G12:K12"/>
    <mergeCell ref="A19:E19"/>
    <mergeCell ref="G19:J19"/>
    <mergeCell ref="A26:C26"/>
    <mergeCell ref="G26:J26"/>
    <mergeCell ref="A33:E33"/>
    <mergeCell ref="G33:K33"/>
    <mergeCell ref="A40:E40"/>
    <mergeCell ref="G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</vt:lpstr>
      <vt:lpstr>VM</vt:lpstr>
      <vt:lpstr>VIO</vt:lpstr>
      <vt:lpstr>Consolidado</vt:lpstr>
      <vt:lpstr>TablaConsolidado</vt:lpstr>
      <vt:lpstr>CURSOSXESTUDIANTES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</dc:creator>
  <cp:lastModifiedBy>Sergio Daniel Martinez Gonzalez</cp:lastModifiedBy>
  <dcterms:created xsi:type="dcterms:W3CDTF">2024-03-01T22:05:01Z</dcterms:created>
  <dcterms:modified xsi:type="dcterms:W3CDTF">2026-07-07T17:13:59Z</dcterms:modified>
</cp:coreProperties>
</file>