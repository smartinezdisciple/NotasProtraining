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3B802DC8-CA85-41B1-BBCD-BD89AF242EFB}" xr6:coauthVersionLast="47" xr6:coauthVersionMax="47" xr10:uidLastSave="{00000000-0000-0000-0000-000000000000}"/>
  <bookViews>
    <workbookView xWindow="-110" yWindow="-110" windowWidth="19420" windowHeight="10300" firstSheet="5" activeTab="5" xr2:uid="{00000000-000D-0000-FFFF-FFFF00000000}"/>
  </bookViews>
  <sheets>
    <sheet name="VM" sheetId="11" state="hidden" r:id="rId1"/>
    <sheet name="VIO" sheetId="12" state="hidden" r:id="rId2"/>
    <sheet name="Consolidado" sheetId="13" state="hidden" r:id="rId3"/>
    <sheet name="TablaConsolidado" sheetId="14" state="hidden" r:id="rId4"/>
    <sheet name="CURSOSXESTUDIANTES" sheetId="15" state="hidden" r:id="rId5"/>
    <sheet name="Canto" sheetId="17" r:id="rId6"/>
    <sheet name="Piano" sheetId="18" r:id="rId7"/>
    <sheet name="Guitarra" sheetId="19" r:id="rId8"/>
    <sheet name="Bajo" sheetId="20" r:id="rId9"/>
    <sheet name="Sonido" sheetId="21" r:id="rId10"/>
    <sheet name="Danza" sheetId="22" r:id="rId11"/>
    <sheet name="Emociones" sheetId="23" r:id="rId12"/>
    <sheet name="Idiomas" sheetId="24" r:id="rId13"/>
    <sheet name="Deportes" sheetId="25" r:id="rId14"/>
    <sheet name="Batería" sheetId="26" r:id="rId15"/>
  </sheets>
  <definedNames>
    <definedName name="_xlnm._FilterDatabase" localSheetId="1" hidden="1">VIO!$B$4:$Q$14</definedName>
    <definedName name="_xlnm._FilterDatabase" localSheetId="0" hidden="1">VM!$B$4:$O$9</definedName>
  </definedNames>
  <calcPr calcId="191029"/>
  <pivotCaches>
    <pivotCache cacheId="5" r:id="rId1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3" l="1"/>
  <c r="K19" i="12"/>
  <c r="I19" i="12"/>
  <c r="H19" i="12"/>
  <c r="G19" i="12"/>
  <c r="K18" i="12"/>
  <c r="J18" i="12"/>
  <c r="J19" i="12" s="1"/>
  <c r="I18" i="12"/>
  <c r="H18" i="12"/>
  <c r="G18" i="12"/>
  <c r="K17" i="12"/>
  <c r="J17" i="12"/>
  <c r="I17" i="12"/>
  <c r="H17" i="12"/>
  <c r="G17" i="12"/>
  <c r="K16" i="12"/>
  <c r="J16" i="12"/>
  <c r="I16" i="12"/>
  <c r="H16" i="12"/>
  <c r="G16" i="12"/>
  <c r="K15" i="12"/>
  <c r="J15" i="12"/>
  <c r="I15" i="12"/>
  <c r="H15" i="12"/>
  <c r="G15" i="12"/>
  <c r="L14" i="12"/>
  <c r="L13" i="12"/>
  <c r="L12" i="12"/>
  <c r="L11" i="12"/>
  <c r="L10" i="12"/>
  <c r="L9" i="12"/>
  <c r="L8" i="12"/>
  <c r="L7" i="12"/>
  <c r="L6" i="12"/>
  <c r="L5" i="12"/>
  <c r="J13" i="11"/>
  <c r="I13" i="11"/>
  <c r="H13" i="11"/>
  <c r="G13" i="11"/>
  <c r="J12" i="11"/>
  <c r="I12" i="11"/>
  <c r="H12" i="11"/>
  <c r="G12" i="11"/>
  <c r="J11" i="11"/>
  <c r="I11" i="11"/>
  <c r="H11" i="11"/>
  <c r="G11" i="11"/>
  <c r="J10" i="11"/>
  <c r="J14" i="11" s="1"/>
  <c r="I10" i="11"/>
  <c r="I14" i="11" s="1"/>
  <c r="H10" i="11"/>
  <c r="H14" i="11" s="1"/>
  <c r="G10" i="11"/>
  <c r="G14" i="11" s="1"/>
  <c r="K9" i="11"/>
  <c r="K8" i="11"/>
  <c r="K7" i="11"/>
  <c r="K6" i="11"/>
  <c r="K5" i="11"/>
</calcChain>
</file>

<file path=xl/sharedStrings.xml><?xml version="1.0" encoding="utf-8"?>
<sst xmlns="http://schemas.openxmlformats.org/spreadsheetml/2006/main" count="989" uniqueCount="300">
  <si>
    <t xml:space="preserve">  </t>
  </si>
  <si>
    <t>CANTO</t>
  </si>
  <si>
    <t>#</t>
  </si>
  <si>
    <t>Nombre completo</t>
  </si>
  <si>
    <t>Nivel</t>
  </si>
  <si>
    <t>Anatomía del Canto</t>
  </si>
  <si>
    <t>Técnica del Canto 1</t>
  </si>
  <si>
    <t>Canto 2</t>
  </si>
  <si>
    <t>Técnica del Canto 2</t>
  </si>
  <si>
    <t>Iniciación Musical</t>
  </si>
  <si>
    <t>Canto Elemental</t>
  </si>
  <si>
    <t>Notas</t>
  </si>
  <si>
    <t>Nota Final</t>
  </si>
  <si>
    <t>Ajeleth Juseth Enriquez Reyes</t>
  </si>
  <si>
    <t>A</t>
  </si>
  <si>
    <t>Alejandra Nicole Villagra Torres</t>
  </si>
  <si>
    <t>Alexander Samuel Gutiérrez Carvajal</t>
  </si>
  <si>
    <t>Alexandra Nicoll Martínez Gonzales</t>
  </si>
  <si>
    <t>Allison Paola Mayorga Anton</t>
  </si>
  <si>
    <t>Amy Geovana Flores Montalván</t>
  </si>
  <si>
    <t>Andrea Belén Vallecillo Escobar</t>
  </si>
  <si>
    <t>Andrea Rebeca Hernández González</t>
  </si>
  <si>
    <t>Angie Isabella Zamorio Aguirre</t>
  </si>
  <si>
    <t>Ariel Josué Paizano Gonzales</t>
  </si>
  <si>
    <t>Arlen Karina Rivas Briceño</t>
  </si>
  <si>
    <t>Aurora Elena Cordero Urtado</t>
  </si>
  <si>
    <t>Bayardo Antonio Hernández Sánchez</t>
  </si>
  <si>
    <t>Blanca Azucena Lanuza Tórrez</t>
  </si>
  <si>
    <t>Brayan Josué Lagos Lazo</t>
  </si>
  <si>
    <t>Camila Alejandra Centeno Mendoza</t>
  </si>
  <si>
    <t>Carlos Eduardo Olivares Chavarría</t>
  </si>
  <si>
    <t>Carlos Fernando Sequeira Rivera</t>
  </si>
  <si>
    <t>Cindy Doreana Veliz Bustos</t>
  </si>
  <si>
    <t>Cindy Paola Navarro Ponce</t>
  </si>
  <si>
    <t>Cristel Dayana Rivas Sanchez</t>
  </si>
  <si>
    <t>Diana Lucía Leytón Gutiérrez</t>
  </si>
  <si>
    <t>Drumari Belén Morales Acosta</t>
  </si>
  <si>
    <t>Edgard Alfonso García Lacayo</t>
  </si>
  <si>
    <t>Edith María Reyes Herrera</t>
  </si>
  <si>
    <t>Emma Ester Acuña Calvo</t>
  </si>
  <si>
    <t>Ericka del Carmen Reyes Jiménez</t>
  </si>
  <si>
    <t>K</t>
  </si>
  <si>
    <t xml:space="preserve">Farieska Litmaris Hernádez Castillo </t>
  </si>
  <si>
    <t>Fernanda Jael Herrera Espinoza</t>
  </si>
  <si>
    <t>Fernanda Sophia Miranda Martinez</t>
  </si>
  <si>
    <t>Gabriela Liliet Porras Bojorge</t>
  </si>
  <si>
    <t>Gabriela Nicole McField Gutiérrez</t>
  </si>
  <si>
    <t>Génesis Sarahí Calero Baez</t>
  </si>
  <si>
    <t>Génesis Vega López</t>
  </si>
  <si>
    <t>Giselle Abigail Martínez Grande</t>
  </si>
  <si>
    <t>Harry Isaías Jarquin García</t>
  </si>
  <si>
    <t>Humberto José Rostran Medina</t>
  </si>
  <si>
    <t>Ingrid Nathalia Bravo Valle</t>
  </si>
  <si>
    <t>Isaac Antonio Escorcia Navarro</t>
  </si>
  <si>
    <t>Javy Lisbeth Cáceres Ramírez</t>
  </si>
  <si>
    <t>Jennifer Kate Reyes Vallecillo</t>
  </si>
  <si>
    <t>Jessli Dayana Martínez Delgado</t>
  </si>
  <si>
    <t>Jeyner Antonio Téllez Medrano</t>
  </si>
  <si>
    <t>John Danny Villegas Valdez</t>
  </si>
  <si>
    <t>John Frank Muñoz Zeas</t>
  </si>
  <si>
    <t>José Carlos Morales Cerna</t>
  </si>
  <si>
    <t>José Gabriel Aldana Espinoza</t>
  </si>
  <si>
    <t>Karen Alejandra Zeledón Padilla</t>
  </si>
  <si>
    <t>Karla Nohemí Obando Sánchez</t>
  </si>
  <si>
    <t>Kathia Liorseth Robleto Mendoza</t>
  </si>
  <si>
    <t>Lía Betzabé Herrera Espinoza</t>
  </si>
  <si>
    <t>Lidia Patricia Laguna Cruz</t>
  </si>
  <si>
    <t>María Belén Umanzor Padilla</t>
  </si>
  <si>
    <t>María Celeste Carrasco Obando</t>
  </si>
  <si>
    <t>María Lídia Castillo</t>
  </si>
  <si>
    <t>Mary Esther Bonilla Espinoza</t>
  </si>
  <si>
    <t>Michael Alexander Rivas Pinéda</t>
  </si>
  <si>
    <t>Moises Emilio Arroliga Espinoza</t>
  </si>
  <si>
    <t>Nolaska de los Ángeles Argeñal Guillén</t>
  </si>
  <si>
    <t>Patricia Jessenia Cárcamo Roque</t>
  </si>
  <si>
    <t>Rebecca Nicole Yañes Solís</t>
  </si>
  <si>
    <t>Reynaldo Elías Durán Díaz</t>
  </si>
  <si>
    <t>Rosanna Karelly Téllez Ortéga</t>
  </si>
  <si>
    <t>Samuel Elí Lorente Icabalceta</t>
  </si>
  <si>
    <t>Sandra Nichole Jarquín Medina</t>
  </si>
  <si>
    <t>Sofía Julieth Matamoros Lumbí</t>
  </si>
  <si>
    <t>Stefany Lizbeth Bonilla Martínez</t>
  </si>
  <si>
    <t>Steven Josué Chávez Campos</t>
  </si>
  <si>
    <t>Valentina Esther Zeledón López</t>
  </si>
  <si>
    <t>Victoria Elizabeth Sandoval Astacio</t>
  </si>
  <si>
    <t>Yoanna Hurtado Poll</t>
  </si>
  <si>
    <t>Zildgean Skarleth Rodríguez Aguilar</t>
  </si>
  <si>
    <t>PIANO</t>
  </si>
  <si>
    <t>Armonía</t>
  </si>
  <si>
    <t>Amelia Victoria López Muñoz</t>
  </si>
  <si>
    <t>Ana Joyce Torrez Rodriguez</t>
  </si>
  <si>
    <t xml:space="preserve">Ángel Sebastián Luna Munguía </t>
  </si>
  <si>
    <t>Angie Giselle González Amador</t>
  </si>
  <si>
    <t>Camila Granados Hernández</t>
  </si>
  <si>
    <t>Cristian Ernesto Sequeira Castilla</t>
  </si>
  <si>
    <t>Daniel Jean-Michel Herradora Castro</t>
  </si>
  <si>
    <t>Danilo Andrés Martínez Briones</t>
  </si>
  <si>
    <t>Dennyse Camila Espinoza Venegas</t>
  </si>
  <si>
    <t>Diego David García Cornejo</t>
  </si>
  <si>
    <t>Diego Sebastian Rodríguez Herrera</t>
  </si>
  <si>
    <t>Eleazar Josué Briones Montenegro</t>
  </si>
  <si>
    <t>Elías Ezequiel Espinoza Hernández</t>
  </si>
  <si>
    <t>Elías Raúl Zúniga</t>
  </si>
  <si>
    <t>Esmeralda Sarahi Espinoza Lopez</t>
  </si>
  <si>
    <t>Eyleen Carolina Zeledón Pineda</t>
  </si>
  <si>
    <t>Fátima Marbelly Pasos López</t>
  </si>
  <si>
    <t>Gabriela Elena Aguilar Lopez</t>
  </si>
  <si>
    <t>Ian Alberto Oviedo Borge</t>
  </si>
  <si>
    <t>Johanner Ariel López Moraga</t>
  </si>
  <si>
    <t xml:space="preserve">Jorge Jeremías Acuña </t>
  </si>
  <si>
    <t>José Antonio Monzón Pérez</t>
  </si>
  <si>
    <t>José Armando Sandino Betanco</t>
  </si>
  <si>
    <t>Kevin Manuel Cajina Martinez</t>
  </si>
  <si>
    <t>Leyla Abigail Flores Lopez</t>
  </si>
  <si>
    <t>Liann Elizabeth Gutiérrez Cheves</t>
  </si>
  <si>
    <t>Liliana Edith Gadea González</t>
  </si>
  <si>
    <t>Marcela María Pérez Suárez</t>
  </si>
  <si>
    <t>María Lourdes Salgado Cerna</t>
  </si>
  <si>
    <t>Mario de Jesús Arce Díaz</t>
  </si>
  <si>
    <t>Marlon Enrique Calderón Parrales</t>
  </si>
  <si>
    <t>Melissa Jashuara García Morales</t>
  </si>
  <si>
    <t>Miguel Ángel Ruíz Saravia</t>
  </si>
  <si>
    <t>Nathaly Bernice Martínez Flores</t>
  </si>
  <si>
    <t>Osman Santiago Rodriguez Obando</t>
  </si>
  <si>
    <t>René Alexander  Flores</t>
  </si>
  <si>
    <t>Saraí Dilenia Sandino Rojas</t>
  </si>
  <si>
    <t>Skarleth Farideth Gadea González</t>
  </si>
  <si>
    <t>Tommy Xavier Varela Castrillo</t>
  </si>
  <si>
    <t>Victor Isaí Soto Gonzalez</t>
  </si>
  <si>
    <t>Xanders Yareth Arce Rosales</t>
  </si>
  <si>
    <t>Yeshua Villagra Torrez</t>
  </si>
  <si>
    <t>Yolanda de los Angeles Guerrero Ortiz</t>
  </si>
  <si>
    <t>GUITARRA</t>
  </si>
  <si>
    <t>Guitarra Básico</t>
  </si>
  <si>
    <t>Guitarra Intermedio</t>
  </si>
  <si>
    <t>Fundamentos de la Guitarra</t>
  </si>
  <si>
    <t>Aarón Jared Mendoza Flores</t>
  </si>
  <si>
    <t>Ailen Jolibeth Torres Rodríguez</t>
  </si>
  <si>
    <t>Andrés Sebastián Urey Bustamante</t>
  </si>
  <si>
    <t>Dany Josué Robleto Mendoza</t>
  </si>
  <si>
    <t>Diego Jazel Otero Ponce</t>
  </si>
  <si>
    <t>Doris Nohemí Treminio Dublon</t>
  </si>
  <si>
    <t>Edwin Abraham Ramírez Palacios</t>
  </si>
  <si>
    <t>Gabriel Elías Madrigal Jarquín</t>
  </si>
  <si>
    <t>Gilberto Benjamín Escorcia Paguaga</t>
  </si>
  <si>
    <t>Jared David Espinoza Sotelo</t>
  </si>
  <si>
    <t>Jonathan Gabriel Baez Hernandez</t>
  </si>
  <si>
    <t>Leónidas Antonio Lacayo Hernández</t>
  </si>
  <si>
    <t>Maite Victoria Sequeira Matus</t>
  </si>
  <si>
    <t>Marcos Aurelio Barrantes Linarte</t>
  </si>
  <si>
    <t>Millie Alexandra Delgado Zambrana</t>
  </si>
  <si>
    <t>Ricardo José Sánchez Miranda</t>
  </si>
  <si>
    <t>Samuel Ismael Mercado Valerio</t>
  </si>
  <si>
    <t>Valerie López Muñoz</t>
  </si>
  <si>
    <t>BATERÍA</t>
  </si>
  <si>
    <t>Básico Drums</t>
  </si>
  <si>
    <t>Intermedio Drums</t>
  </si>
  <si>
    <t>Elemental Drums</t>
  </si>
  <si>
    <t>Derick Neftalí Luna Dávila</t>
  </si>
  <si>
    <t>Diego Ismael Calonge Mejía</t>
  </si>
  <si>
    <t>Dorian Jared Hernández Caballero</t>
  </si>
  <si>
    <t>Elías Gamaliel Vilchez López</t>
  </si>
  <si>
    <t>Franklin Isaac Callejas Treminio</t>
  </si>
  <si>
    <t>Génesis Salazar</t>
  </si>
  <si>
    <t>Gibrán Abdiel Colomer Gonzáles</t>
  </si>
  <si>
    <t>Ismael David Chávez Alvaréz</t>
  </si>
  <si>
    <t>Jair Arsenio Herrera Espinoza</t>
  </si>
  <si>
    <t>Jan Renie Ponce</t>
  </si>
  <si>
    <t>Jasid Jasiel Colomer Gonzáles</t>
  </si>
  <si>
    <t>Jeremy Jafet Espinoza Hernández</t>
  </si>
  <si>
    <t>José Isaí Osorno</t>
  </si>
  <si>
    <t>José Luis Hernández Cano</t>
  </si>
  <si>
    <t>Jubal Emmanuel Arauz Ponce</t>
  </si>
  <si>
    <t>Julio Martínez Grande</t>
  </si>
  <si>
    <t>Lenin Matías Cerna Velazques</t>
  </si>
  <si>
    <t>Leticia Isabella Ulloa</t>
  </si>
  <si>
    <t>Martín Alonso Picado</t>
  </si>
  <si>
    <t xml:space="preserve">Matías Gabriel Soto Hernández </t>
  </si>
  <si>
    <t>Osmin Matías Soto Gonzales</t>
  </si>
  <si>
    <t>Rodolfo Josué Jarquín Rocha</t>
  </si>
  <si>
    <t>Roger Alexander Torres García</t>
  </si>
  <si>
    <t>Samuel Isaí Pérez Narváez</t>
  </si>
  <si>
    <t>Sandro Josué Flores Palacios</t>
  </si>
  <si>
    <t>BAJO</t>
  </si>
  <si>
    <t>Bajo Intermedio</t>
  </si>
  <si>
    <t>Álvaro Francisco Romero Olivares</t>
  </si>
  <si>
    <t>Christian José Carrión Hernández</t>
  </si>
  <si>
    <t xml:space="preserve"> </t>
  </si>
  <si>
    <t>SONIDO</t>
  </si>
  <si>
    <t>Sonido Básico</t>
  </si>
  <si>
    <t>Sonido Intermedio</t>
  </si>
  <si>
    <t>Álvaro Isaac Berrios Padilla</t>
  </si>
  <si>
    <t>Christian Martín Tellez Palacios</t>
  </si>
  <si>
    <t>Luis Ángel Lumbí Jarquín</t>
  </si>
  <si>
    <t>Ricardo Steven Ortíz Aguirre</t>
  </si>
  <si>
    <t>DANZA</t>
  </si>
  <si>
    <t>Ballet Clásico</t>
  </si>
  <si>
    <t>Danza con Instrumentos</t>
  </si>
  <si>
    <t>Danza Interpretativa</t>
  </si>
  <si>
    <t>Preparación Física</t>
  </si>
  <si>
    <t>Abigail Omaly Arce Rosales</t>
  </si>
  <si>
    <t>Elizabeth Sofía Carrillo Soto</t>
  </si>
  <si>
    <t>Emily Jair Ruiz Granados</t>
  </si>
  <si>
    <t>Ester Nohemí Rodríguez Sánchez</t>
  </si>
  <si>
    <t>Gabriela Sarahí Perez Chavarria</t>
  </si>
  <si>
    <t>Itzel Yarietzi Gutiérrez Navarro</t>
  </si>
  <si>
    <t>Kamila Nazareth Téllez Ortega</t>
  </si>
  <si>
    <t>Maritsa Daniela Pineda López</t>
  </si>
  <si>
    <t>Rossy Liseth Box Gaitán</t>
  </si>
  <si>
    <t>Samara Nohemí Gutiérrez Navarro</t>
  </si>
  <si>
    <t>Teresa Geraldine Ponce Quezada</t>
  </si>
  <si>
    <t>Emociones</t>
  </si>
  <si>
    <t>Amy Flores Montalván</t>
  </si>
  <si>
    <t>Angie Gissell González Amador</t>
  </si>
  <si>
    <t>Angie Michelle Aguirre Darce</t>
  </si>
  <si>
    <t>Carlos Alberto Jarquín Téllez</t>
  </si>
  <si>
    <t>Esther Nohemí Hernández Acevedo</t>
  </si>
  <si>
    <t>Gabriela Elena Aguilar López</t>
  </si>
  <si>
    <t>Génesis Betzabe Vega Lopez</t>
  </si>
  <si>
    <t>John Danny Villigas Valdés</t>
  </si>
  <si>
    <t>Jonathan Gabriel Baez Hernández</t>
  </si>
  <si>
    <t>José Antonio Calonge Martin</t>
  </si>
  <si>
    <t>José Carlos Morales C.</t>
  </si>
  <si>
    <t>Josué Isaac Montano</t>
  </si>
  <si>
    <t>Jubal Arauz Ponce</t>
  </si>
  <si>
    <t>Julio Eliseo Martínez Grande</t>
  </si>
  <si>
    <t>Luis Angel Lumbí Jarquín</t>
  </si>
  <si>
    <t>Mario de Jesús Arce Diaz</t>
  </si>
  <si>
    <t>Martín Alonso Picado Rivera</t>
  </si>
  <si>
    <t>Milton Soto</t>
  </si>
  <si>
    <t>Moisés Saravia Reyes</t>
  </si>
  <si>
    <t xml:space="preserve">Sandro Josué Flores </t>
  </si>
  <si>
    <t>Sofía Julieth Matamoros Lumbi</t>
  </si>
  <si>
    <t>Steven Josué Chavez C.</t>
  </si>
  <si>
    <t>Victor Isaías Soto González</t>
  </si>
  <si>
    <t>IDIOMAS</t>
  </si>
  <si>
    <t>Marzo</t>
  </si>
  <si>
    <t>Abril</t>
  </si>
  <si>
    <t>Inglés</t>
  </si>
  <si>
    <t>Portugués</t>
  </si>
  <si>
    <t>Adriana Marina Luna Osorio</t>
  </si>
  <si>
    <t>Ana Sofía Aguilar López</t>
  </si>
  <si>
    <t>Francés</t>
  </si>
  <si>
    <t>Elías Samuel Balladares Zelaya</t>
  </si>
  <si>
    <t>Esther Saraí Canales Manzanares</t>
  </si>
  <si>
    <t>Evelyn Carolina Aguirre Hernández</t>
  </si>
  <si>
    <t>Jamy Lilliana Ocón Solis</t>
  </si>
  <si>
    <t>Jeremy Eduardo Torrez García</t>
  </si>
  <si>
    <t>Jessica Edith Rivera Urtecho</t>
  </si>
  <si>
    <t>José Elías Vallejos Castellón</t>
  </si>
  <si>
    <t>José Isaí Osorno Castellón</t>
  </si>
  <si>
    <t>Kathya Molina</t>
  </si>
  <si>
    <t>Rita Fabiola Reyes López</t>
  </si>
  <si>
    <t>Yelbulisa Gutiérrez Manzano</t>
  </si>
  <si>
    <t>DEPORTES</t>
  </si>
  <si>
    <t>Voleibol</t>
  </si>
  <si>
    <t>Fútbol</t>
  </si>
  <si>
    <t>Alejandra Isabela Rodriguez Herrera</t>
  </si>
  <si>
    <t>André Josué Flores Ponce</t>
  </si>
  <si>
    <t>Emily Katalina Amaya Saravia</t>
  </si>
  <si>
    <t>Hendrick Neftali Jarquín Moreno</t>
  </si>
  <si>
    <t>Isaí Román Corea González</t>
  </si>
  <si>
    <t>Joshua David Muller Castillo</t>
  </si>
  <si>
    <t>Juan Ramón Rodríguez Estrada</t>
  </si>
  <si>
    <t>Julio César Lopez Membreño</t>
  </si>
  <si>
    <t>Samuel Alejandro Obando Zeledón</t>
  </si>
  <si>
    <t>VIENTO METAL</t>
  </si>
  <si>
    <t>Edad</t>
  </si>
  <si>
    <t>Celular</t>
  </si>
  <si>
    <t>Localidad/Filial</t>
  </si>
  <si>
    <t>Inasistencias</t>
  </si>
  <si>
    <t>Mensualidad</t>
  </si>
  <si>
    <t>Presentes</t>
  </si>
  <si>
    <t>Justificados</t>
  </si>
  <si>
    <t>Tardíos</t>
  </si>
  <si>
    <t>Ausentes</t>
  </si>
  <si>
    <t>Total</t>
  </si>
  <si>
    <t>VIOLÍN</t>
  </si>
  <si>
    <t>Código</t>
  </si>
  <si>
    <t>Ossiel Noelia Luna Osorio</t>
  </si>
  <si>
    <t>Nivel 1</t>
  </si>
  <si>
    <t>Central</t>
  </si>
  <si>
    <t>✓</t>
  </si>
  <si>
    <t>B</t>
  </si>
  <si>
    <t xml:space="preserve">COUNTA of  </t>
  </si>
  <si>
    <t>CANTIDAD DE ESTUDIANTES POR CURSOS</t>
  </si>
  <si>
    <t>ARTES PLÁSTICAS</t>
  </si>
  <si>
    <t>EMOCIONES</t>
  </si>
  <si>
    <t>EMP. Y LID.</t>
  </si>
  <si>
    <t>Nombre del estudiante</t>
  </si>
  <si>
    <t>Clase</t>
  </si>
  <si>
    <t>Nivel/Disciplina/Idioma</t>
  </si>
  <si>
    <t>Acumulado</t>
  </si>
  <si>
    <t>Examen Práctico</t>
  </si>
  <si>
    <t>Examen Teórico</t>
  </si>
  <si>
    <t>Idiomas</t>
  </si>
  <si>
    <t xml:space="preserve"> 2</t>
  </si>
  <si>
    <t>#VALUE!</t>
  </si>
  <si>
    <t>(blank)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</si>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</sst>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,\+\50\5#########"/>
    <numFmt numFmtId="165" formatCode="\,\+\50\5########"/>
  </numFmts>
  <fonts count="9" x14ac:knownFonts="1">
    <font>
      <sz val="12"/>
      <color theme="1"/>
      <name val="Arial"/>
      <scheme val="minor"/>
    </font>
    <font>
      <b/>
      <sz val="11"/>
      <color theme="1"/>
      <name val="Arial"/>
    </font>
    <font>
      <sz val="12"/>
      <name val="Arial"/>
    </font>
    <font>
      <sz val="11"/>
      <color theme="1"/>
      <name val="Arial"/>
    </font>
    <font>
      <sz val="11"/>
      <color rgb="FF000000"/>
      <name val="Arial"/>
    </font>
    <font>
      <sz val="12"/>
      <color theme="1"/>
      <name val="Arial"/>
    </font>
    <font>
      <sz val="12"/>
      <color theme="1"/>
      <name val="Arial"/>
      <scheme val="minor"/>
    </font>
    <font>
      <b/>
      <sz val="12"/>
      <color theme="1"/>
      <name val="Arial"/>
    </font>
    <font>
      <b/>
      <sz val="12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CCD8F7"/>
        <bgColor rgb="FFCCD8F7"/>
      </patternFill>
    </fill>
  </fills>
  <borders count="3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3" fillId="0" borderId="11" xfId="0" applyFont="1" applyBorder="1" applyAlignment="1">
      <alignment vertical="center"/>
    </xf>
    <xf numFmtId="0" fontId="3" fillId="0" borderId="12" xfId="0" applyFont="1" applyBorder="1" applyAlignment="1">
      <alignment horizontal="left" vertical="center"/>
    </xf>
    <xf numFmtId="49" fontId="1" fillId="0" borderId="12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vertical="center"/>
    </xf>
    <xf numFmtId="0" fontId="1" fillId="0" borderId="12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left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16" xfId="0" applyFont="1" applyBorder="1" applyAlignment="1">
      <alignment vertical="center"/>
    </xf>
    <xf numFmtId="0" fontId="3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49" fontId="1" fillId="0" borderId="18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64" fontId="3" fillId="0" borderId="12" xfId="0" applyNumberFormat="1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3" fillId="0" borderId="14" xfId="0" applyFont="1" applyBorder="1" applyAlignment="1">
      <alignment vertical="center"/>
    </xf>
    <xf numFmtId="1" fontId="3" fillId="0" borderId="12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165" fontId="3" fillId="0" borderId="18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vertical="center"/>
    </xf>
    <xf numFmtId="0" fontId="1" fillId="0" borderId="24" xfId="0" applyFont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5" fillId="0" borderId="0" xfId="0" applyFont="1"/>
    <xf numFmtId="0" fontId="6" fillId="0" borderId="0" xfId="0" applyFont="1"/>
    <xf numFmtId="0" fontId="5" fillId="0" borderId="21" xfId="0" applyFont="1" applyBorder="1"/>
    <xf numFmtId="0" fontId="5" fillId="0" borderId="20" xfId="0" applyFont="1" applyBorder="1"/>
    <xf numFmtId="0" fontId="5" fillId="0" borderId="12" xfId="0" applyFont="1" applyBorder="1"/>
    <xf numFmtId="0" fontId="5" fillId="0" borderId="0" xfId="0" applyFont="1" applyAlignment="1">
      <alignment horizontal="center"/>
    </xf>
    <xf numFmtId="0" fontId="8" fillId="3" borderId="0" xfId="0" applyFont="1" applyFill="1"/>
    <xf numFmtId="0" fontId="1" fillId="0" borderId="1" xfId="0" applyFont="1" applyBorder="1" applyAlignment="1">
      <alignment horizontal="center" vertical="center"/>
    </xf>
    <xf numFmtId="0" fontId="2" fillId="0" borderId="4" xfId="0" applyFont="1" applyBorder="1"/>
    <xf numFmtId="0" fontId="2" fillId="0" borderId="5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2" fillId="0" borderId="8" xfId="0" applyFont="1" applyBorder="1"/>
    <xf numFmtId="0" fontId="1" fillId="0" borderId="7" xfId="0" applyFont="1" applyBorder="1" applyAlignment="1">
      <alignment horizontal="center" vertical="center"/>
    </xf>
    <xf numFmtId="0" fontId="2" fillId="0" borderId="9" xfId="0" applyFont="1" applyBorder="1"/>
    <xf numFmtId="49" fontId="1" fillId="0" borderId="7" xfId="0" applyNumberFormat="1" applyFont="1" applyBorder="1" applyAlignment="1">
      <alignment horizontal="center" vertical="center"/>
    </xf>
    <xf numFmtId="0" fontId="0" fillId="0" borderId="0" xfId="0"/>
    <xf numFmtId="0" fontId="1" fillId="0" borderId="13" xfId="0" applyFont="1" applyBorder="1" applyAlignment="1">
      <alignment horizontal="center" vertical="center"/>
    </xf>
    <xf numFmtId="0" fontId="2" fillId="0" borderId="21" xfId="0" applyFont="1" applyBorder="1"/>
    <xf numFmtId="0" fontId="2" fillId="0" borderId="20" xfId="0" applyFont="1" applyBorder="1"/>
    <xf numFmtId="0" fontId="1" fillId="0" borderId="7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2" fillId="0" borderId="10" xfId="0" applyFont="1" applyBorder="1"/>
    <xf numFmtId="0" fontId="5" fillId="0" borderId="13" xfId="0" applyFont="1" applyBorder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0" fillId="0" borderId="25" xfId="0" pivotButton="1" applyBorder="1"/>
    <xf numFmtId="0" fontId="0" fillId="0" borderId="26" xfId="0" applyBorder="1"/>
    <xf numFmtId="0" fontId="0" fillId="0" borderId="25" xfId="0" applyBorder="1"/>
    <xf numFmtId="0" fontId="0" fillId="0" borderId="27" xfId="0" applyBorder="1"/>
    <xf numFmtId="0" fontId="0" fillId="0" borderId="25" xfId="0" applyNumberFormat="1" applyBorder="1"/>
    <xf numFmtId="0" fontId="0" fillId="0" borderId="27" xfId="0" applyNumberFormat="1" applyBorder="1"/>
    <xf numFmtId="0" fontId="0" fillId="0" borderId="28" xfId="0" applyBorder="1"/>
    <xf numFmtId="0" fontId="0" fillId="0" borderId="28" xfId="0" applyNumberFormat="1" applyBorder="1"/>
    <xf numFmtId="0" fontId="0" fillId="0" borderId="29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dmin" refreshedDate="46206.395921064817" refreshedVersion="8" recordCount="1" xr:uid="{00000000-000A-0000-FFFF-FFFF00000000}">
  <cacheSource type="worksheet">
    <worksheetSource ref="A1:C320" sheet="Consolidado"/>
  </cacheSource>
  <cacheFields count="3">
    <cacheField name="#VALUE!" numFmtId="0">
      <sharedItems containsNonDate="0" containsString="0" containsBlank="1" count="1">
        <m/>
      </sharedItems>
    </cacheField>
    <cacheField name=" " numFmtId="0">
      <sharedItems containsNonDate="0" containsString="0" containsBlank="1"/>
    </cacheField>
    <cacheField name=" 2" numFmtId="0">
      <sharedItems containsNonDate="0"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D00-000000000000}" name="TablaConsolidado" cacheId="5" applyNumberFormats="0" applyBorderFormats="0" applyFontFormats="0" applyPatternFormats="0" applyAlignmentFormats="0" applyWidthHeightFormats="0" dataCaption="" updatedVersion="8" compact="0" compactData="0">
  <location ref="A1:C4" firstHeaderRow="1" firstDataRow="2" firstDataCol="1"/>
  <pivotFields count="3">
    <pivotField name="#VALUE!" axis="axisRow" compact="0" outline="0" multipleItemSelectionAllowed="1" showAll="0" sortType="ascending">
      <items count="2">
        <item x="0"/>
        <item t="default"/>
      </items>
    </pivotField>
    <pivotField name=" " dataField="1" compact="0" outline="0" multipleItemSelectionAllowed="1" showAll="0"/>
    <pivotField name=" 2" axis="axisCol" compact="0" outline="0" multipleItemSelectionAllowed="1" showAll="0" sortType="ascending">
      <items count="2">
        <item x="0"/>
        <item t="default"/>
      </items>
    </pivotField>
  </pivotFields>
  <rowFields count="1">
    <field x="0"/>
  </rowFields>
  <rowItems count="2">
    <i>
      <x/>
    </i>
    <i t="grand">
      <x/>
    </i>
  </rowItems>
  <colFields count="1">
    <field x="2"/>
  </colFields>
  <colItems count="2">
    <i>
      <x/>
    </i>
    <i t="grand">
      <x/>
    </i>
  </colItems>
  <dataFields count="1">
    <dataField name="COUNTA of  " fld="1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D000000}" name="CURSOSXESTUDIANTES 13" cacheId="5" applyNumberFormats="0" applyBorderFormats="0" applyFontFormats="0" applyPatternFormats="0" applyAlignmentFormats="0" applyWidthHeightFormats="0" dataCaption="" updatedVersion="8" compact="0" compactData="0">
  <location ref="A48:C51" firstHeaderRow="1" firstDataRow="2" firstDataCol="1"/>
  <pivotFields count="3">
    <pivotField name="#VALUE!" axis="axisRow" compact="0" outline="0" multipleItemSelectionAllowed="1" showAll="0" sortType="ascending">
      <items count="2">
        <item x="0"/>
        <item t="default"/>
      </items>
    </pivotField>
    <pivotField name=" " dataField="1" compact="0" outline="0" multipleItemSelectionAllowed="1" showAll="0"/>
    <pivotField name=" 2" axis="axisCol" compact="0" outline="0" multipleItemSelectionAllowed="1" showAll="0" sortType="ascending">
      <items count="2">
        <item x="0"/>
        <item t="default"/>
      </items>
    </pivotField>
  </pivotFields>
  <rowFields count="1">
    <field x="0"/>
  </rowFields>
  <rowItems count="2">
    <i>
      <x/>
    </i>
    <i t="grand">
      <x/>
    </i>
  </rowItems>
  <colFields count="1">
    <field x="2"/>
  </colFields>
  <colItems count="2">
    <i>
      <x/>
    </i>
    <i t="grand">
      <x/>
    </i>
  </colItems>
  <dataFields count="1">
    <dataField name=" " fld="1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C000000}" name="CURSOSXESTUDIANTES 9" cacheId="5" applyNumberFormats="0" applyBorderFormats="0" applyFontFormats="0" applyPatternFormats="0" applyAlignmentFormats="0" applyWidthHeightFormats="0" dataCaption="" updatedVersion="8" compact="0" compactData="0">
  <location ref="A34:C37" firstHeaderRow="1" firstDataRow="2" firstDataCol="1"/>
  <pivotFields count="3">
    <pivotField name="#VALUE!" axis="axisRow" compact="0" outline="0" multipleItemSelectionAllowed="1" showAll="0" sortType="ascending">
      <items count="2">
        <item x="0"/>
        <item t="default"/>
      </items>
    </pivotField>
    <pivotField name=" " dataField="1" compact="0" outline="0" multipleItemSelectionAllowed="1" showAll="0"/>
    <pivotField name=" 2" axis="axisCol" compact="0" outline="0" multipleItemSelectionAllowed="1" showAll="0" sortType="ascending">
      <items count="2">
        <item x="0"/>
        <item t="default"/>
      </items>
    </pivotField>
  </pivotFields>
  <rowFields count="1">
    <field x="0"/>
  </rowFields>
  <rowItems count="2">
    <i>
      <x/>
    </i>
    <i t="grand">
      <x/>
    </i>
  </rowItems>
  <colFields count="1">
    <field x="2"/>
  </colFields>
  <colItems count="2">
    <i>
      <x/>
    </i>
    <i t="grand">
      <x/>
    </i>
  </colItems>
  <dataFields count="1">
    <dataField name=" " fld="1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B000000}" name="CURSOSXESTUDIANTES 4" cacheId="5" applyNumberFormats="0" applyBorderFormats="0" applyFontFormats="0" applyPatternFormats="0" applyAlignmentFormats="0" applyWidthHeightFormats="0" dataCaption="" updatedVersion="8" compact="0" compactData="0">
  <location ref="G13:I16" firstHeaderRow="1" firstDataRow="2" firstDataCol="1"/>
  <pivotFields count="3">
    <pivotField name="#VALUE!" axis="axisRow" compact="0" outline="0" multipleItemSelectionAllowed="1" showAll="0" sortType="ascending">
      <items count="2">
        <item x="0"/>
        <item t="default"/>
      </items>
    </pivotField>
    <pivotField name=" " dataField="1" compact="0" outline="0" multipleItemSelectionAllowed="1" showAll="0"/>
    <pivotField name=" 2" axis="axisCol" compact="0" outline="0" multipleItemSelectionAllowed="1" showAll="0" sortType="ascending">
      <items count="2">
        <item x="0"/>
        <item t="default"/>
      </items>
    </pivotField>
  </pivotFields>
  <rowFields count="1">
    <field x="0"/>
  </rowFields>
  <rowItems count="2">
    <i>
      <x/>
    </i>
    <i t="grand">
      <x/>
    </i>
  </rowItems>
  <colFields count="1">
    <field x="2"/>
  </colFields>
  <colItems count="2">
    <i>
      <x/>
    </i>
    <i t="grand">
      <x/>
    </i>
  </colItems>
  <dataFields count="1">
    <dataField name=" " fld="1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A000000}" name="CURSOSXESTUDIANTES 10" cacheId="5" applyNumberFormats="0" applyBorderFormats="0" applyFontFormats="0" applyPatternFormats="0" applyAlignmentFormats="0" applyWidthHeightFormats="0" dataCaption="" updatedVersion="8" compact="0" compactData="0">
  <location ref="G34:I37" firstHeaderRow="1" firstDataRow="2" firstDataCol="1"/>
  <pivotFields count="3">
    <pivotField name="#VALUE!" axis="axisRow" compact="0" outline="0" multipleItemSelectionAllowed="1" showAll="0" sortType="ascending">
      <items count="2">
        <item x="0"/>
        <item t="default"/>
      </items>
    </pivotField>
    <pivotField name=" " dataField="1" compact="0" outline="0" multipleItemSelectionAllowed="1" showAll="0"/>
    <pivotField name=" 2" axis="axisCol" compact="0" outline="0" multipleItemSelectionAllowed="1" showAll="0" sortType="ascending">
      <items count="2">
        <item x="0"/>
        <item t="default"/>
      </items>
    </pivotField>
  </pivotFields>
  <rowFields count="1">
    <field x="0"/>
  </rowFields>
  <rowItems count="2">
    <i>
      <x/>
    </i>
    <i t="grand">
      <x/>
    </i>
  </rowItems>
  <colFields count="1">
    <field x="2"/>
  </colFields>
  <colItems count="2">
    <i>
      <x/>
    </i>
    <i t="grand">
      <x/>
    </i>
  </colItems>
  <dataFields count="1">
    <dataField name=" " fld="1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9000000}" name="CURSOSXESTUDIANTES 5" cacheId="5" applyNumberFormats="0" applyBorderFormats="0" applyFontFormats="0" applyPatternFormats="0" applyAlignmentFormats="0" applyWidthHeightFormats="0" dataCaption="" updatedVersion="8" compact="0" compactData="0">
  <location ref="A20:C23" firstHeaderRow="1" firstDataRow="2" firstDataCol="1"/>
  <pivotFields count="3">
    <pivotField name="#VALUE!" axis="axisRow" compact="0" outline="0" multipleItemSelectionAllowed="1" showAll="0" sortType="ascending">
      <items count="2">
        <item x="0"/>
        <item t="default"/>
      </items>
    </pivotField>
    <pivotField name=" " dataField="1" compact="0" outline="0" multipleItemSelectionAllowed="1" showAll="0"/>
    <pivotField name=" 2" axis="axisCol" compact="0" outline="0" multipleItemSelectionAllowed="1" showAll="0" sortType="ascending">
      <items count="2">
        <item x="0"/>
        <item t="default"/>
      </items>
    </pivotField>
  </pivotFields>
  <rowFields count="1">
    <field x="0"/>
  </rowFields>
  <rowItems count="2">
    <i>
      <x/>
    </i>
    <i t="grand">
      <x/>
    </i>
  </rowItems>
  <colFields count="1">
    <field x="2"/>
  </colFields>
  <colItems count="2">
    <i>
      <x/>
    </i>
    <i t="grand">
      <x/>
    </i>
  </colItems>
  <dataFields count="1">
    <dataField name=" " fld="1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8000000}" name="CURSOSXESTUDIANTES 6" cacheId="5" applyNumberFormats="0" applyBorderFormats="0" applyFontFormats="0" applyPatternFormats="0" applyAlignmentFormats="0" applyWidthHeightFormats="0" dataCaption="" updatedVersion="8" compact="0" compactData="0">
  <location ref="G20:I23" firstHeaderRow="1" firstDataRow="2" firstDataCol="1"/>
  <pivotFields count="3">
    <pivotField name="#VALUE!" axis="axisRow" compact="0" outline="0" multipleItemSelectionAllowed="1" showAll="0" sortType="ascending">
      <items count="2">
        <item x="0"/>
        <item t="default"/>
      </items>
    </pivotField>
    <pivotField name=" " dataField="1" compact="0" outline="0" multipleItemSelectionAllowed="1" showAll="0"/>
    <pivotField name=" 2" axis="axisCol" compact="0" outline="0" multipleItemSelectionAllowed="1" showAll="0" sortType="ascending">
      <items count="2">
        <item x="0"/>
        <item t="default"/>
      </items>
    </pivotField>
  </pivotFields>
  <rowFields count="1">
    <field x="0"/>
  </rowFields>
  <rowItems count="2">
    <i>
      <x/>
    </i>
    <i t="grand">
      <x/>
    </i>
  </rowItems>
  <colFields count="1">
    <field x="2"/>
  </colFields>
  <colItems count="2">
    <i>
      <x/>
    </i>
    <i t="grand">
      <x/>
    </i>
  </colItems>
  <dataFields count="1">
    <dataField name=" " fld="1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7000000}" name="CURSOSXESTUDIANTES" cacheId="5" applyNumberFormats="0" applyBorderFormats="0" applyFontFormats="0" applyPatternFormats="0" applyAlignmentFormats="0" applyWidthHeightFormats="0" dataCaption="" updatedVersion="8" compact="0" compactData="0">
  <location ref="A5:C8" firstHeaderRow="1" firstDataRow="2" firstDataCol="1"/>
  <pivotFields count="3">
    <pivotField name="#VALUE!" axis="axisRow" compact="0" outline="0" multipleItemSelectionAllowed="1" showAll="0" sortType="ascending">
      <items count="2">
        <item x="0"/>
        <item t="default"/>
      </items>
    </pivotField>
    <pivotField name=" " dataField="1" compact="0" outline="0" multipleItemSelectionAllowed="1" showAll="0"/>
    <pivotField name=" 2" axis="axisCol" compact="0" outline="0" multipleItemSelectionAllowed="1" showAll="0" sortType="ascending">
      <items count="2">
        <item x="0"/>
        <item t="default"/>
      </items>
    </pivotField>
  </pivotFields>
  <rowFields count="1">
    <field x="0"/>
  </rowFields>
  <rowItems count="2">
    <i>
      <x/>
    </i>
    <i t="grand">
      <x/>
    </i>
  </rowItems>
  <colFields count="1">
    <field x="2"/>
  </colFields>
  <colItems count="2">
    <i>
      <x/>
    </i>
    <i t="grand">
      <x/>
    </i>
  </colItems>
  <dataFields count="1">
    <dataField name=" " fld="1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6000000}" name="CURSOSXESTUDIANTES 11" cacheId="5" applyNumberFormats="0" applyBorderFormats="0" applyFontFormats="0" applyPatternFormats="0" applyAlignmentFormats="0" applyWidthHeightFormats="0" dataCaption="" updatedVersion="8" compact="0" compactData="0">
  <location ref="A41:C44" firstHeaderRow="1" firstDataRow="2" firstDataCol="1"/>
  <pivotFields count="3">
    <pivotField name="#VALUE!" axis="axisRow" compact="0" outline="0" multipleItemSelectionAllowed="1" showAll="0" sortType="ascending">
      <items count="2">
        <item x="0"/>
        <item t="default"/>
      </items>
    </pivotField>
    <pivotField name=" " dataField="1" compact="0" outline="0" multipleItemSelectionAllowed="1" showAll="0"/>
    <pivotField name=" 2" axis="axisCol" compact="0" outline="0" multipleItemSelectionAllowed="1" showAll="0" sortType="ascending">
      <items count="2">
        <item x="0"/>
        <item t="default"/>
      </items>
    </pivotField>
  </pivotFields>
  <rowFields count="1">
    <field x="0"/>
  </rowFields>
  <rowItems count="2">
    <i>
      <x/>
    </i>
    <i t="grand">
      <x/>
    </i>
  </rowItems>
  <colFields count="1">
    <field x="2"/>
  </colFields>
  <colItems count="2">
    <i>
      <x/>
    </i>
    <i t="grand">
      <x/>
    </i>
  </colItems>
  <dataFields count="1">
    <dataField name=" " fld="1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5000000}" name="CURSOSXESTUDIANTES 2" cacheId="5" applyNumberFormats="0" applyBorderFormats="0" applyFontFormats="0" applyPatternFormats="0" applyAlignmentFormats="0" applyWidthHeightFormats="0" dataCaption="" updatedVersion="8" compact="0" compactData="0">
  <location ref="G5:I8" firstHeaderRow="1" firstDataRow="2" firstDataCol="1"/>
  <pivotFields count="3">
    <pivotField name="#VALUE!" axis="axisRow" compact="0" outline="0" multipleItemSelectionAllowed="1" showAll="0" sortType="ascending">
      <items count="2">
        <item x="0"/>
        <item t="default"/>
      </items>
    </pivotField>
    <pivotField name=" " dataField="1" compact="0" outline="0" multipleItemSelectionAllowed="1" showAll="0"/>
    <pivotField name=" 2" axis="axisCol" compact="0" outline="0" multipleItemSelectionAllowed="1" showAll="0" sortType="ascending">
      <items count="2">
        <item x="0"/>
        <item t="default"/>
      </items>
    </pivotField>
  </pivotFields>
  <rowFields count="1">
    <field x="0"/>
  </rowFields>
  <rowItems count="2">
    <i>
      <x/>
    </i>
    <i t="grand">
      <x/>
    </i>
  </rowItems>
  <colFields count="1">
    <field x="2"/>
  </colFields>
  <colItems count="2">
    <i>
      <x/>
    </i>
    <i t="grand">
      <x/>
    </i>
  </colItems>
  <dataFields count="1">
    <dataField name=" " fld="1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4000000}" name="CURSOSXESTUDIANTES 7" cacheId="5" applyNumberFormats="0" applyBorderFormats="0" applyFontFormats="0" applyPatternFormats="0" applyAlignmentFormats="0" applyWidthHeightFormats="0" dataCaption="" updatedVersion="8" compact="0" compactData="0">
  <location ref="A27:C30" firstHeaderRow="1" firstDataRow="2" firstDataCol="1"/>
  <pivotFields count="3">
    <pivotField name="#VALUE!" axis="axisRow" compact="0" outline="0" multipleItemSelectionAllowed="1" showAll="0" sortType="ascending">
      <items count="2">
        <item x="0"/>
        <item t="default"/>
      </items>
    </pivotField>
    <pivotField name=" " dataField="1" compact="0" outline="0" multipleItemSelectionAllowed="1" showAll="0"/>
    <pivotField name=" 2" axis="axisCol" compact="0" outline="0" multipleItemSelectionAllowed="1" showAll="0" sortType="ascending">
      <items count="2">
        <item x="0"/>
        <item t="default"/>
      </items>
    </pivotField>
  </pivotFields>
  <rowFields count="1">
    <field x="0"/>
  </rowFields>
  <rowItems count="2">
    <i>
      <x/>
    </i>
    <i t="grand">
      <x/>
    </i>
  </rowItems>
  <colFields count="1">
    <field x="2"/>
  </colFields>
  <colItems count="2">
    <i>
      <x/>
    </i>
    <i t="grand">
      <x/>
    </i>
  </colItems>
  <dataFields count="1">
    <dataField name=" " fld="1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3000000}" name="CURSOSXESTUDIANTES 12" cacheId="5" applyNumberFormats="0" applyBorderFormats="0" applyFontFormats="0" applyPatternFormats="0" applyAlignmentFormats="0" applyWidthHeightFormats="0" dataCaption="" updatedVersion="8" compact="0" compactData="0">
  <location ref="G41:I44" firstHeaderRow="1" firstDataRow="2" firstDataCol="1"/>
  <pivotFields count="3">
    <pivotField name="#VALUE!" axis="axisRow" compact="0" outline="0" multipleItemSelectionAllowed="1" showAll="0" sortType="ascending">
      <items count="2">
        <item x="0"/>
        <item t="default"/>
      </items>
    </pivotField>
    <pivotField name=" " dataField="1" compact="0" outline="0" multipleItemSelectionAllowed="1" showAll="0"/>
    <pivotField name=" 2" axis="axisCol" compact="0" outline="0" multipleItemSelectionAllowed="1" showAll="0" sortType="ascending">
      <items count="2">
        <item x="0"/>
        <item t="default"/>
      </items>
    </pivotField>
  </pivotFields>
  <rowFields count="1">
    <field x="0"/>
  </rowFields>
  <rowItems count="2">
    <i>
      <x/>
    </i>
    <i t="grand">
      <x/>
    </i>
  </rowItems>
  <colFields count="1">
    <field x="2"/>
  </colFields>
  <colItems count="2">
    <i>
      <x/>
    </i>
    <i t="grand">
      <x/>
    </i>
  </colItems>
  <dataFields count="1">
    <dataField name=" " fld="1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2000000}" name="CURSOSXESTUDIANTES 3" cacheId="5" applyNumberFormats="0" applyBorderFormats="0" applyFontFormats="0" applyPatternFormats="0" applyAlignmentFormats="0" applyWidthHeightFormats="0" dataCaption="" updatedVersion="8" compact="0" compactData="0">
  <location ref="A13:C16" firstHeaderRow="1" firstDataRow="2" firstDataCol="1"/>
  <pivotFields count="3">
    <pivotField name="#VALUE!" axis="axisRow" compact="0" outline="0" multipleItemSelectionAllowed="1" showAll="0" sortType="ascending">
      <items count="2">
        <item x="0"/>
        <item t="default"/>
      </items>
    </pivotField>
    <pivotField name=" " dataField="1" compact="0" outline="0" multipleItemSelectionAllowed="1" showAll="0"/>
    <pivotField name=" 2" axis="axisCol" compact="0" outline="0" multipleItemSelectionAllowed="1" showAll="0" sortType="ascending">
      <items count="2">
        <item x="0"/>
        <item t="default"/>
      </items>
    </pivotField>
  </pivotFields>
  <rowFields count="1">
    <field x="0"/>
  </rowFields>
  <rowItems count="2">
    <i>
      <x/>
    </i>
    <i t="grand">
      <x/>
    </i>
  </rowItems>
  <colFields count="1">
    <field x="2"/>
  </colFields>
  <colItems count="2">
    <i>
      <x/>
    </i>
    <i t="grand">
      <x/>
    </i>
  </colItems>
  <dataFields count="1">
    <dataField name=" " fld="1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1000000}" name="CURSOSXESTUDIANTES 8" cacheId="5" applyNumberFormats="0" applyBorderFormats="0" applyFontFormats="0" applyPatternFormats="0" applyAlignmentFormats="0" applyWidthHeightFormats="0" dataCaption="" updatedVersion="8" compact="0" compactData="0">
  <location ref="G27:I30" firstHeaderRow="1" firstDataRow="2" firstDataCol="1"/>
  <pivotFields count="3">
    <pivotField name="#VALUE!" axis="axisRow" compact="0" outline="0" multipleItemSelectionAllowed="1" showAll="0" sortType="ascending">
      <items count="2">
        <item x="0"/>
        <item t="default"/>
      </items>
    </pivotField>
    <pivotField name=" " dataField="1" compact="0" outline="0" multipleItemSelectionAllowed="1" showAll="0"/>
    <pivotField name=" 2" axis="axisCol" compact="0" outline="0" multipleItemSelectionAllowed="1" showAll="0" sortType="ascending">
      <items count="2">
        <item x="0"/>
        <item t="default"/>
      </items>
    </pivotField>
  </pivotFields>
  <rowFields count="1">
    <field x="0"/>
  </rowFields>
  <rowItems count="2">
    <i>
      <x/>
    </i>
    <i t="grand">
      <x/>
    </i>
  </rowItems>
  <colFields count="1">
    <field x="2"/>
  </colFields>
  <colItems count="2">
    <i>
      <x/>
    </i>
    <i t="grand">
      <x/>
    </i>
  </colItems>
  <dataFields count="1">
    <dataField name=" " fld="1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ivotTable" Target="../pivotTables/pivotTable14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0" Type="http://schemas.openxmlformats.org/officeDocument/2006/relationships/pivotTable" Target="../pivotTables/pivotTable1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A9999"/>
  </sheetPr>
  <dimension ref="A1:O88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defaultColWidth="10.07421875" defaultRowHeight="15" customHeight="1" x14ac:dyDescent="0.35"/>
  <cols>
    <col min="1" max="1" width="3.23046875" customWidth="1"/>
    <col min="2" max="2" width="25.765625" customWidth="1"/>
    <col min="3" max="3" width="5.61328125" customWidth="1"/>
    <col min="4" max="4" width="4.3828125" customWidth="1"/>
    <col min="5" max="5" width="5.765625" customWidth="1"/>
    <col min="6" max="6" width="11.3828125" customWidth="1"/>
    <col min="7" max="10" width="6.07421875" customWidth="1"/>
    <col min="11" max="11" width="10" customWidth="1"/>
    <col min="12" max="14" width="3.921875" customWidth="1"/>
    <col min="15" max="15" width="5" customWidth="1"/>
  </cols>
  <sheetData>
    <row r="1" spans="1:15" ht="18.75" customHeight="1" x14ac:dyDescent="0.35">
      <c r="A1" s="47" t="s">
        <v>0</v>
      </c>
      <c r="B1" s="50"/>
      <c r="C1" s="51" t="s">
        <v>266</v>
      </c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9"/>
    </row>
    <row r="2" spans="1:15" ht="15.5" x14ac:dyDescent="0.35">
      <c r="A2" s="52" t="s">
        <v>2</v>
      </c>
      <c r="B2" s="54" t="s">
        <v>3</v>
      </c>
      <c r="C2" s="56" t="s">
        <v>4</v>
      </c>
      <c r="D2" s="54" t="s">
        <v>267</v>
      </c>
      <c r="E2" s="54" t="s">
        <v>268</v>
      </c>
      <c r="F2" s="54" t="s">
        <v>269</v>
      </c>
      <c r="G2" s="58" t="s">
        <v>236</v>
      </c>
      <c r="H2" s="59"/>
      <c r="I2" s="59"/>
      <c r="J2" s="2" t="s">
        <v>237</v>
      </c>
      <c r="K2" s="61" t="s">
        <v>270</v>
      </c>
      <c r="L2" s="58" t="s">
        <v>271</v>
      </c>
      <c r="M2" s="59"/>
      <c r="N2" s="60"/>
      <c r="O2" s="62" t="s">
        <v>11</v>
      </c>
    </row>
    <row r="3" spans="1:15" ht="14.25" customHeight="1" x14ac:dyDescent="0.35">
      <c r="A3" s="53"/>
      <c r="B3" s="55"/>
      <c r="C3" s="55"/>
      <c r="D3" s="55"/>
      <c r="E3" s="55"/>
      <c r="F3" s="55"/>
      <c r="G3" s="1">
        <v>14</v>
      </c>
      <c r="H3" s="1">
        <v>21</v>
      </c>
      <c r="I3" s="1">
        <v>28</v>
      </c>
      <c r="J3" s="1">
        <v>11</v>
      </c>
      <c r="K3" s="55"/>
      <c r="L3" s="1">
        <v>1</v>
      </c>
      <c r="M3" s="1">
        <v>2</v>
      </c>
      <c r="N3" s="1">
        <v>3</v>
      </c>
      <c r="O3" s="63"/>
    </row>
    <row r="4" spans="1:15" ht="12" customHeight="1" x14ac:dyDescent="0.35">
      <c r="A4" s="4"/>
      <c r="B4" s="5"/>
      <c r="C4" s="6"/>
      <c r="D4" s="26"/>
      <c r="E4" s="26"/>
      <c r="F4" s="1"/>
      <c r="G4" s="1"/>
      <c r="H4" s="1"/>
      <c r="I4" s="1"/>
      <c r="J4" s="1"/>
      <c r="K4" s="1"/>
      <c r="L4" s="1"/>
      <c r="M4" s="1"/>
      <c r="N4" s="1"/>
      <c r="O4" s="32"/>
    </row>
    <row r="5" spans="1:15" ht="22.5" customHeight="1" x14ac:dyDescent="0.35">
      <c r="A5" s="7">
        <v>1</v>
      </c>
      <c r="B5" s="19"/>
      <c r="C5" s="6"/>
      <c r="D5" s="33"/>
      <c r="E5" s="28"/>
      <c r="F5" s="26"/>
      <c r="G5" s="1"/>
      <c r="H5" s="9"/>
      <c r="I5" s="9"/>
      <c r="J5" s="9"/>
      <c r="K5" s="9">
        <f t="shared" ref="K5:K9" si="0">COUNTIF(G5:H5,"A")</f>
        <v>0</v>
      </c>
      <c r="L5" s="9"/>
      <c r="M5" s="9"/>
      <c r="N5" s="9"/>
      <c r="O5" s="32"/>
    </row>
    <row r="6" spans="1:15" ht="22.5" customHeight="1" x14ac:dyDescent="0.35">
      <c r="A6" s="7">
        <v>2</v>
      </c>
      <c r="B6" s="5"/>
      <c r="C6" s="6"/>
      <c r="D6" s="33"/>
      <c r="E6" s="28"/>
      <c r="F6" s="26"/>
      <c r="G6" s="1"/>
      <c r="H6" s="9"/>
      <c r="I6" s="9"/>
      <c r="J6" s="9"/>
      <c r="K6" s="9">
        <f t="shared" si="0"/>
        <v>0</v>
      </c>
      <c r="L6" s="9"/>
      <c r="M6" s="9"/>
      <c r="N6" s="9"/>
      <c r="O6" s="32"/>
    </row>
    <row r="7" spans="1:15" ht="22.5" customHeight="1" x14ac:dyDescent="0.35">
      <c r="A7" s="7">
        <v>3</v>
      </c>
      <c r="B7" s="8"/>
      <c r="C7" s="6"/>
      <c r="D7" s="33"/>
      <c r="E7" s="28"/>
      <c r="F7" s="26"/>
      <c r="G7" s="1"/>
      <c r="H7" s="9"/>
      <c r="I7" s="9"/>
      <c r="J7" s="9"/>
      <c r="K7" s="9">
        <f t="shared" si="0"/>
        <v>0</v>
      </c>
      <c r="L7" s="9"/>
      <c r="M7" s="9"/>
      <c r="N7" s="9"/>
      <c r="O7" s="32"/>
    </row>
    <row r="8" spans="1:15" ht="22.5" customHeight="1" x14ac:dyDescent="0.35">
      <c r="A8" s="7">
        <v>4</v>
      </c>
      <c r="B8" s="5"/>
      <c r="C8" s="6"/>
      <c r="D8" s="33"/>
      <c r="E8" s="28"/>
      <c r="F8" s="26"/>
      <c r="G8" s="1"/>
      <c r="H8" s="9"/>
      <c r="I8" s="9"/>
      <c r="J8" s="9"/>
      <c r="K8" s="9">
        <f t="shared" si="0"/>
        <v>0</v>
      </c>
      <c r="L8" s="9"/>
      <c r="M8" s="9"/>
      <c r="N8" s="9"/>
      <c r="O8" s="29"/>
    </row>
    <row r="9" spans="1:15" ht="22.5" customHeight="1" x14ac:dyDescent="0.35">
      <c r="A9" s="10">
        <v>5</v>
      </c>
      <c r="B9" s="11"/>
      <c r="C9" s="23"/>
      <c r="D9" s="34"/>
      <c r="E9" s="35"/>
      <c r="F9" s="27"/>
      <c r="G9" s="31"/>
      <c r="H9" s="31"/>
      <c r="I9" s="31"/>
      <c r="J9" s="31"/>
      <c r="K9" s="25">
        <f t="shared" si="0"/>
        <v>0</v>
      </c>
      <c r="L9" s="25"/>
      <c r="M9" s="25"/>
      <c r="N9" s="25"/>
      <c r="O9" s="24"/>
    </row>
    <row r="10" spans="1:15" ht="30" customHeight="1" x14ac:dyDescent="0.35">
      <c r="A10" s="14"/>
      <c r="B10" s="15"/>
      <c r="C10" s="16"/>
      <c r="D10" s="15"/>
      <c r="E10" s="15"/>
      <c r="F10" s="36" t="s">
        <v>272</v>
      </c>
      <c r="G10" s="30">
        <f t="shared" ref="G10:J10" si="1">COUNTIF(G5:G9,"X")</f>
        <v>0</v>
      </c>
      <c r="H10" s="30">
        <f t="shared" si="1"/>
        <v>0</v>
      </c>
      <c r="I10" s="30">
        <f t="shared" si="1"/>
        <v>0</v>
      </c>
      <c r="J10" s="37">
        <f t="shared" si="1"/>
        <v>0</v>
      </c>
      <c r="K10" s="17"/>
      <c r="L10" s="17"/>
      <c r="M10" s="17"/>
      <c r="N10" s="17"/>
      <c r="O10" s="17"/>
    </row>
    <row r="11" spans="1:15" ht="30" customHeight="1" x14ac:dyDescent="0.35">
      <c r="A11" s="14"/>
      <c r="B11" s="15"/>
      <c r="C11" s="16"/>
      <c r="D11" s="15"/>
      <c r="E11" s="15"/>
      <c r="F11" s="38" t="s">
        <v>273</v>
      </c>
      <c r="G11" s="1">
        <f t="shared" ref="G11:J11" si="2">COUNTIF(G5:G9,"J")</f>
        <v>0</v>
      </c>
      <c r="H11" s="1">
        <f t="shared" si="2"/>
        <v>0</v>
      </c>
      <c r="I11" s="1">
        <f t="shared" si="2"/>
        <v>0</v>
      </c>
      <c r="J11" s="3">
        <f t="shared" si="2"/>
        <v>0</v>
      </c>
      <c r="K11" s="17"/>
      <c r="L11" s="17"/>
      <c r="M11" s="17"/>
      <c r="N11" s="17"/>
      <c r="O11" s="17"/>
    </row>
    <row r="12" spans="1:15" ht="30" customHeight="1" x14ac:dyDescent="0.35">
      <c r="A12" s="14"/>
      <c r="B12" s="15"/>
      <c r="C12" s="16"/>
      <c r="D12" s="15"/>
      <c r="E12" s="15"/>
      <c r="F12" s="38" t="s">
        <v>274</v>
      </c>
      <c r="G12" s="1">
        <f t="shared" ref="G12:J12" si="3">COUNTIF(G5:G9,"T")</f>
        <v>0</v>
      </c>
      <c r="H12" s="1">
        <f t="shared" si="3"/>
        <v>0</v>
      </c>
      <c r="I12" s="1">
        <f t="shared" si="3"/>
        <v>0</v>
      </c>
      <c r="J12" s="3">
        <f t="shared" si="3"/>
        <v>0</v>
      </c>
      <c r="K12" s="17"/>
      <c r="L12" s="17"/>
      <c r="M12" s="17"/>
      <c r="N12" s="17"/>
      <c r="O12" s="17"/>
    </row>
    <row r="13" spans="1:15" ht="30" customHeight="1" x14ac:dyDescent="0.35">
      <c r="A13" s="14"/>
      <c r="B13" s="15"/>
      <c r="C13" s="16"/>
      <c r="D13" s="15"/>
      <c r="E13" s="15"/>
      <c r="F13" s="38" t="s">
        <v>275</v>
      </c>
      <c r="G13" s="1">
        <f t="shared" ref="G13:J13" si="4">COUNTIF(G5:G9,"A")</f>
        <v>0</v>
      </c>
      <c r="H13" s="1">
        <f t="shared" si="4"/>
        <v>0</v>
      </c>
      <c r="I13" s="1">
        <f t="shared" si="4"/>
        <v>0</v>
      </c>
      <c r="J13" s="3">
        <f t="shared" si="4"/>
        <v>0</v>
      </c>
      <c r="K13" s="17"/>
      <c r="L13" s="17"/>
      <c r="M13" s="17"/>
      <c r="N13" s="17"/>
      <c r="O13" s="17"/>
    </row>
    <row r="14" spans="1:15" ht="30" customHeight="1" x14ac:dyDescent="0.35">
      <c r="A14" s="14"/>
      <c r="B14" s="15"/>
      <c r="C14" s="16"/>
      <c r="D14" s="15"/>
      <c r="E14" s="15"/>
      <c r="F14" s="39" t="s">
        <v>276</v>
      </c>
      <c r="G14" s="12">
        <f t="shared" ref="G14:J14" si="5">SUM(G10:G13)</f>
        <v>0</v>
      </c>
      <c r="H14" s="12">
        <f t="shared" si="5"/>
        <v>0</v>
      </c>
      <c r="I14" s="12">
        <f t="shared" si="5"/>
        <v>0</v>
      </c>
      <c r="J14" s="13">
        <f t="shared" si="5"/>
        <v>0</v>
      </c>
      <c r="K14" s="17"/>
      <c r="L14" s="17"/>
      <c r="M14" s="17"/>
      <c r="N14" s="17"/>
      <c r="O14" s="17"/>
    </row>
    <row r="15" spans="1:15" ht="26.25" customHeight="1" x14ac:dyDescent="0.35">
      <c r="A15" s="18"/>
      <c r="B15" s="19"/>
      <c r="C15" s="20"/>
      <c r="D15" s="21"/>
      <c r="E15" s="21"/>
      <c r="F15" s="21"/>
      <c r="G15" s="21"/>
      <c r="H15" s="21"/>
      <c r="I15" s="21"/>
      <c r="J15" s="21"/>
      <c r="K15" s="15"/>
      <c r="L15" s="15"/>
      <c r="M15" s="15"/>
      <c r="N15" s="15"/>
      <c r="O15" s="15"/>
    </row>
    <row r="16" spans="1:15" ht="26.25" customHeight="1" x14ac:dyDescent="0.35">
      <c r="A16" s="18"/>
      <c r="B16" s="19"/>
      <c r="C16" s="20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</row>
    <row r="17" spans="1:15" ht="26.25" customHeight="1" x14ac:dyDescent="0.35">
      <c r="A17" s="18"/>
      <c r="B17" s="19"/>
      <c r="C17" s="20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</row>
    <row r="18" spans="1:15" ht="26.25" customHeight="1" x14ac:dyDescent="0.35">
      <c r="A18" s="18"/>
      <c r="B18" s="19"/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</row>
    <row r="19" spans="1:15" ht="13.5" customHeight="1" x14ac:dyDescent="0.35">
      <c r="A19" s="18"/>
      <c r="B19" s="19"/>
      <c r="C19" s="20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spans="1:15" ht="13.5" customHeight="1" x14ac:dyDescent="0.35">
      <c r="A20" s="18"/>
      <c r="B20" s="19"/>
      <c r="C20" s="20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</row>
    <row r="21" spans="1:15" ht="13.5" customHeight="1" x14ac:dyDescent="0.35">
      <c r="A21" s="18"/>
      <c r="B21" s="19"/>
      <c r="C21" s="20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</row>
    <row r="22" spans="1:15" ht="13.5" customHeight="1" x14ac:dyDescent="0.35">
      <c r="A22" s="18"/>
      <c r="B22" s="19"/>
      <c r="C22" s="20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</row>
    <row r="23" spans="1:15" ht="13.5" customHeight="1" x14ac:dyDescent="0.35">
      <c r="A23" s="18"/>
      <c r="B23" s="19"/>
      <c r="C23" s="20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</row>
    <row r="24" spans="1:15" ht="13.5" customHeight="1" x14ac:dyDescent="0.35">
      <c r="A24" s="18"/>
      <c r="B24" s="19"/>
      <c r="C24" s="20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</row>
    <row r="25" spans="1:15" ht="13.5" customHeight="1" x14ac:dyDescent="0.35">
      <c r="A25" s="18"/>
      <c r="B25" s="19"/>
      <c r="C25" s="20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</row>
    <row r="26" spans="1:15" ht="13.5" customHeight="1" x14ac:dyDescent="0.35">
      <c r="A26" s="18"/>
      <c r="B26" s="19"/>
      <c r="C26" s="20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</row>
    <row r="27" spans="1:15" ht="13.5" customHeight="1" x14ac:dyDescent="0.35">
      <c r="A27" s="18"/>
      <c r="B27" s="19"/>
      <c r="C27" s="20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</row>
    <row r="28" spans="1:15" ht="13.5" customHeight="1" x14ac:dyDescent="0.35">
      <c r="A28" s="18"/>
      <c r="B28" s="19"/>
      <c r="C28" s="20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</row>
    <row r="29" spans="1:15" ht="13.5" customHeight="1" x14ac:dyDescent="0.35">
      <c r="A29" s="18"/>
      <c r="B29" s="19"/>
      <c r="C29" s="20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</row>
    <row r="30" spans="1:15" ht="13.5" customHeight="1" x14ac:dyDescent="0.35">
      <c r="A30" s="18"/>
      <c r="B30" s="19"/>
      <c r="C30" s="20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</row>
    <row r="31" spans="1:15" ht="13.5" customHeight="1" x14ac:dyDescent="0.35">
      <c r="A31" s="18"/>
      <c r="B31" s="19"/>
      <c r="C31" s="20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</row>
    <row r="32" spans="1:15" ht="13.5" customHeight="1" x14ac:dyDescent="0.35">
      <c r="A32" s="18"/>
      <c r="B32" s="19"/>
      <c r="C32" s="20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</row>
    <row r="33" spans="1:15" ht="13.5" customHeight="1" x14ac:dyDescent="0.35">
      <c r="A33" s="18"/>
      <c r="B33" s="19"/>
      <c r="C33" s="20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</row>
    <row r="34" spans="1:15" ht="13.5" customHeight="1" x14ac:dyDescent="0.35">
      <c r="A34" s="18"/>
      <c r="B34" s="19"/>
      <c r="C34" s="20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</row>
    <row r="35" spans="1:15" ht="13.5" customHeight="1" x14ac:dyDescent="0.35">
      <c r="A35" s="18"/>
      <c r="B35" s="19"/>
      <c r="C35" s="20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</row>
    <row r="36" spans="1:15" ht="13.5" customHeight="1" x14ac:dyDescent="0.35">
      <c r="A36" s="18"/>
      <c r="B36" s="19"/>
      <c r="C36" s="20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</row>
    <row r="37" spans="1:15" ht="13.5" customHeight="1" x14ac:dyDescent="0.35">
      <c r="A37" s="18"/>
      <c r="B37" s="19"/>
      <c r="C37" s="20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</row>
    <row r="38" spans="1:15" ht="13.5" customHeight="1" x14ac:dyDescent="0.35">
      <c r="A38" s="18"/>
      <c r="B38" s="19"/>
      <c r="C38" s="20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</row>
    <row r="39" spans="1:15" ht="13.5" customHeight="1" x14ac:dyDescent="0.35">
      <c r="A39" s="18"/>
      <c r="B39" s="19"/>
      <c r="C39" s="20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</row>
    <row r="40" spans="1:15" ht="13.5" customHeight="1" x14ac:dyDescent="0.35">
      <c r="A40" s="18"/>
      <c r="B40" s="19"/>
      <c r="C40" s="20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</row>
    <row r="41" spans="1:15" ht="13.5" customHeight="1" x14ac:dyDescent="0.35">
      <c r="A41" s="18"/>
      <c r="B41" s="19"/>
      <c r="C41" s="20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</row>
    <row r="42" spans="1:15" ht="13.5" customHeight="1" x14ac:dyDescent="0.35">
      <c r="A42" s="18"/>
      <c r="B42" s="19"/>
      <c r="C42" s="20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</row>
    <row r="43" spans="1:15" ht="13.5" customHeight="1" x14ac:dyDescent="0.35">
      <c r="A43" s="18"/>
      <c r="B43" s="19"/>
      <c r="C43" s="20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</row>
    <row r="44" spans="1:15" ht="13.5" customHeight="1" x14ac:dyDescent="0.35">
      <c r="A44" s="18"/>
      <c r="B44" s="19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</row>
    <row r="45" spans="1:15" ht="13.5" customHeight="1" x14ac:dyDescent="0.35">
      <c r="A45" s="18"/>
      <c r="B45" s="19"/>
      <c r="C45" s="20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</row>
    <row r="46" spans="1:15" ht="13.5" customHeight="1" x14ac:dyDescent="0.35">
      <c r="A46" s="18"/>
      <c r="B46" s="19"/>
      <c r="C46" s="20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</row>
    <row r="47" spans="1:15" ht="13.5" customHeight="1" x14ac:dyDescent="0.35">
      <c r="A47" s="18"/>
      <c r="B47" s="19"/>
      <c r="C47" s="20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</row>
    <row r="48" spans="1:15" ht="13.5" customHeight="1" x14ac:dyDescent="0.35">
      <c r="A48" s="18"/>
      <c r="B48" s="19"/>
      <c r="C48" s="20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</row>
    <row r="49" spans="1:15" ht="13.5" customHeight="1" x14ac:dyDescent="0.35">
      <c r="A49" s="18"/>
      <c r="B49" s="19"/>
      <c r="C49" s="20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</row>
    <row r="50" spans="1:15" ht="13.5" customHeight="1" x14ac:dyDescent="0.35">
      <c r="A50" s="18"/>
      <c r="B50" s="19"/>
      <c r="C50" s="20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</row>
    <row r="51" spans="1:15" ht="13.5" customHeight="1" x14ac:dyDescent="0.35">
      <c r="A51" s="18"/>
      <c r="B51" s="19"/>
      <c r="C51" s="20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</row>
    <row r="52" spans="1:15" ht="13.5" customHeight="1" x14ac:dyDescent="0.35">
      <c r="A52" s="18"/>
      <c r="B52" s="19"/>
      <c r="C52" s="20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</row>
    <row r="53" spans="1:15" ht="13.5" customHeight="1" x14ac:dyDescent="0.35">
      <c r="A53" s="18"/>
      <c r="B53" s="19"/>
      <c r="C53" s="20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</row>
    <row r="54" spans="1:15" ht="13.5" customHeight="1" x14ac:dyDescent="0.35">
      <c r="A54" s="18"/>
      <c r="B54" s="19"/>
      <c r="C54" s="20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</row>
    <row r="55" spans="1:15" ht="13.5" customHeight="1" x14ac:dyDescent="0.35">
      <c r="A55" s="18"/>
      <c r="B55" s="19"/>
      <c r="C55" s="20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</row>
    <row r="56" spans="1:15" ht="13.5" customHeight="1" x14ac:dyDescent="0.35">
      <c r="A56" s="18"/>
      <c r="B56" s="19"/>
      <c r="C56" s="20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</row>
    <row r="57" spans="1:15" ht="13.5" customHeight="1" x14ac:dyDescent="0.35">
      <c r="A57" s="18"/>
      <c r="B57" s="19"/>
      <c r="C57" s="20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</row>
    <row r="58" spans="1:15" ht="13.5" customHeight="1" x14ac:dyDescent="0.35">
      <c r="A58" s="18"/>
      <c r="B58" s="19"/>
      <c r="C58" s="20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</row>
    <row r="59" spans="1:15" ht="13.5" customHeight="1" x14ac:dyDescent="0.35">
      <c r="A59" s="18"/>
      <c r="B59" s="19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</row>
    <row r="60" spans="1:15" ht="13.5" customHeight="1" x14ac:dyDescent="0.35">
      <c r="A60" s="18"/>
      <c r="B60" s="19"/>
      <c r="C60" s="20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</row>
    <row r="61" spans="1:15" ht="13.5" customHeight="1" x14ac:dyDescent="0.35">
      <c r="A61" s="18"/>
      <c r="B61" s="19"/>
      <c r="C61" s="20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</row>
    <row r="62" spans="1:15" ht="13.5" customHeight="1" x14ac:dyDescent="0.35">
      <c r="A62" s="18"/>
      <c r="B62" s="19"/>
      <c r="C62" s="20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</row>
    <row r="63" spans="1:15" ht="13.5" customHeight="1" x14ac:dyDescent="0.35">
      <c r="A63" s="18"/>
      <c r="B63" s="19"/>
      <c r="C63" s="20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</row>
    <row r="64" spans="1:15" ht="13.5" customHeight="1" x14ac:dyDescent="0.35">
      <c r="A64" s="18"/>
      <c r="B64" s="19"/>
      <c r="C64" s="20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</row>
    <row r="65" spans="1:15" ht="13.5" customHeight="1" x14ac:dyDescent="0.35">
      <c r="A65" s="18"/>
      <c r="B65" s="19"/>
      <c r="C65" s="20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</row>
    <row r="66" spans="1:15" ht="13.5" customHeight="1" x14ac:dyDescent="0.35">
      <c r="A66" s="18"/>
      <c r="B66" s="19"/>
      <c r="C66" s="20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</row>
    <row r="67" spans="1:15" ht="13.5" customHeight="1" x14ac:dyDescent="0.35">
      <c r="A67" s="18"/>
      <c r="B67" s="19"/>
      <c r="C67" s="20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</row>
    <row r="68" spans="1:15" ht="13.5" customHeight="1" x14ac:dyDescent="0.35">
      <c r="A68" s="18"/>
      <c r="B68" s="19"/>
      <c r="C68" s="20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</row>
    <row r="69" spans="1:15" ht="13.5" customHeight="1" x14ac:dyDescent="0.35">
      <c r="A69" s="18"/>
      <c r="B69" s="19"/>
      <c r="C69" s="20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</row>
    <row r="70" spans="1:15" ht="13.5" customHeight="1" x14ac:dyDescent="0.35">
      <c r="A70" s="18"/>
      <c r="B70" s="19"/>
      <c r="C70" s="20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</row>
    <row r="71" spans="1:15" ht="13.5" customHeight="1" x14ac:dyDescent="0.35">
      <c r="A71" s="18"/>
      <c r="B71" s="19"/>
      <c r="C71" s="20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</row>
    <row r="72" spans="1:15" ht="13.5" customHeight="1" x14ac:dyDescent="0.35">
      <c r="A72" s="18"/>
      <c r="B72" s="19"/>
      <c r="C72" s="20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</row>
    <row r="73" spans="1:15" ht="13.5" customHeight="1" x14ac:dyDescent="0.35">
      <c r="A73" s="18"/>
      <c r="B73" s="19"/>
      <c r="C73" s="20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</row>
    <row r="74" spans="1:15" ht="13.5" customHeight="1" x14ac:dyDescent="0.35">
      <c r="A74" s="18"/>
      <c r="B74" s="19"/>
      <c r="C74" s="20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</row>
    <row r="75" spans="1:15" ht="13.5" customHeight="1" x14ac:dyDescent="0.35">
      <c r="A75" s="18"/>
      <c r="B75" s="19"/>
      <c r="C75" s="20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</row>
    <row r="76" spans="1:15" ht="13.5" customHeight="1" x14ac:dyDescent="0.35">
      <c r="A76" s="18"/>
      <c r="B76" s="19"/>
      <c r="C76" s="20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</row>
    <row r="77" spans="1:15" ht="13.5" customHeight="1" x14ac:dyDescent="0.35">
      <c r="A77" s="18"/>
      <c r="B77" s="19"/>
      <c r="C77" s="20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</row>
    <row r="78" spans="1:15" ht="13.5" customHeight="1" x14ac:dyDescent="0.35">
      <c r="A78" s="18"/>
      <c r="B78" s="19"/>
      <c r="C78" s="20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</row>
    <row r="79" spans="1:15" ht="13.5" customHeight="1" x14ac:dyDescent="0.35">
      <c r="A79" s="18"/>
      <c r="B79" s="19"/>
      <c r="C79" s="20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</row>
    <row r="80" spans="1:15" ht="13.5" customHeight="1" x14ac:dyDescent="0.35">
      <c r="A80" s="18"/>
      <c r="B80" s="19"/>
      <c r="C80" s="20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</row>
    <row r="81" spans="1:15" ht="13.5" customHeight="1" x14ac:dyDescent="0.35">
      <c r="A81" s="18"/>
      <c r="B81" s="19"/>
      <c r="C81" s="20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</row>
    <row r="82" spans="1:15" ht="13.5" customHeight="1" x14ac:dyDescent="0.35">
      <c r="A82" s="18"/>
      <c r="B82" s="19"/>
      <c r="C82" s="20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</row>
    <row r="83" spans="1:15" ht="13.5" customHeight="1" x14ac:dyDescent="0.35">
      <c r="A83" s="18"/>
      <c r="B83" s="19"/>
      <c r="C83" s="20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</row>
    <row r="84" spans="1:15" ht="13.5" customHeight="1" x14ac:dyDescent="0.35">
      <c r="A84" s="18"/>
      <c r="B84" s="19"/>
      <c r="C84" s="20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</row>
    <row r="85" spans="1:15" ht="13.5" customHeight="1" x14ac:dyDescent="0.35">
      <c r="A85" s="18"/>
      <c r="B85" s="19"/>
      <c r="C85" s="20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</row>
    <row r="86" spans="1:15" ht="13.5" customHeight="1" x14ac:dyDescent="0.35">
      <c r="A86" s="18"/>
      <c r="B86" s="19"/>
      <c r="C86" s="20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</row>
    <row r="87" spans="1:15" ht="13.5" customHeight="1" x14ac:dyDescent="0.35">
      <c r="A87" s="18"/>
      <c r="B87" s="19"/>
      <c r="C87" s="20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</row>
    <row r="88" spans="1:15" ht="13.5" customHeight="1" x14ac:dyDescent="0.35">
      <c r="A88" s="18"/>
      <c r="B88" s="19"/>
      <c r="C88" s="20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</row>
    <row r="89" spans="1:15" ht="13.5" customHeight="1" x14ac:dyDescent="0.35">
      <c r="A89" s="18"/>
      <c r="B89" s="19"/>
      <c r="C89" s="20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</row>
    <row r="90" spans="1:15" ht="13.5" customHeight="1" x14ac:dyDescent="0.35">
      <c r="A90" s="18"/>
      <c r="B90" s="19"/>
      <c r="C90" s="20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</row>
    <row r="91" spans="1:15" ht="13.5" customHeight="1" x14ac:dyDescent="0.35">
      <c r="A91" s="18"/>
      <c r="B91" s="19"/>
      <c r="C91" s="20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</row>
    <row r="92" spans="1:15" ht="13.5" customHeight="1" x14ac:dyDescent="0.35">
      <c r="A92" s="18"/>
      <c r="B92" s="19"/>
      <c r="C92" s="20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</row>
    <row r="93" spans="1:15" ht="13.5" customHeight="1" x14ac:dyDescent="0.35">
      <c r="A93" s="18"/>
      <c r="B93" s="19"/>
      <c r="C93" s="20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</row>
    <row r="94" spans="1:15" ht="13.5" customHeight="1" x14ac:dyDescent="0.35">
      <c r="A94" s="18"/>
      <c r="B94" s="19"/>
      <c r="C94" s="20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</row>
    <row r="95" spans="1:15" ht="13.5" customHeight="1" x14ac:dyDescent="0.35">
      <c r="A95" s="18"/>
      <c r="B95" s="19"/>
      <c r="C95" s="20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</row>
    <row r="96" spans="1:15" ht="13.5" customHeight="1" x14ac:dyDescent="0.35">
      <c r="A96" s="18"/>
      <c r="B96" s="19"/>
      <c r="C96" s="20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</row>
    <row r="97" spans="1:15" ht="13.5" customHeight="1" x14ac:dyDescent="0.35">
      <c r="A97" s="18"/>
      <c r="B97" s="19"/>
      <c r="C97" s="20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</row>
    <row r="98" spans="1:15" ht="13.5" customHeight="1" x14ac:dyDescent="0.35">
      <c r="A98" s="18"/>
      <c r="B98" s="19"/>
      <c r="C98" s="20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</row>
    <row r="99" spans="1:15" ht="13.5" customHeight="1" x14ac:dyDescent="0.35">
      <c r="A99" s="18"/>
      <c r="B99" s="19"/>
      <c r="C99" s="20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</row>
    <row r="100" spans="1:15" ht="13.5" customHeight="1" x14ac:dyDescent="0.35">
      <c r="A100" s="18"/>
      <c r="B100" s="19"/>
      <c r="C100" s="20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</row>
    <row r="101" spans="1:15" ht="13.5" customHeight="1" x14ac:dyDescent="0.35">
      <c r="A101" s="18"/>
      <c r="B101" s="19"/>
      <c r="C101" s="20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</row>
    <row r="102" spans="1:15" ht="13.5" customHeight="1" x14ac:dyDescent="0.35">
      <c r="A102" s="18"/>
      <c r="B102" s="19"/>
      <c r="C102" s="20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</row>
    <row r="103" spans="1:15" ht="13.5" customHeight="1" x14ac:dyDescent="0.35">
      <c r="A103" s="18"/>
      <c r="B103" s="19"/>
      <c r="C103" s="20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</row>
    <row r="104" spans="1:15" ht="13.5" customHeight="1" x14ac:dyDescent="0.35">
      <c r="A104" s="18"/>
      <c r="B104" s="19"/>
      <c r="C104" s="20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</row>
    <row r="105" spans="1:15" ht="13.5" customHeight="1" x14ac:dyDescent="0.35">
      <c r="A105" s="18"/>
      <c r="B105" s="19"/>
      <c r="C105" s="20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</row>
    <row r="106" spans="1:15" ht="13.5" customHeight="1" x14ac:dyDescent="0.35">
      <c r="A106" s="18"/>
      <c r="B106" s="19"/>
      <c r="C106" s="20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</row>
    <row r="107" spans="1:15" ht="13.5" customHeight="1" x14ac:dyDescent="0.35">
      <c r="A107" s="18"/>
      <c r="B107" s="19"/>
      <c r="C107" s="20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</row>
    <row r="108" spans="1:15" ht="13.5" customHeight="1" x14ac:dyDescent="0.35">
      <c r="A108" s="18"/>
      <c r="B108" s="19"/>
      <c r="C108" s="20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</row>
    <row r="109" spans="1:15" ht="13.5" customHeight="1" x14ac:dyDescent="0.35">
      <c r="A109" s="18"/>
      <c r="B109" s="19"/>
      <c r="C109" s="20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</row>
    <row r="110" spans="1:15" ht="15.75" customHeight="1" x14ac:dyDescent="0.35">
      <c r="A110" s="21"/>
      <c r="B110" s="19"/>
      <c r="C110" s="20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</row>
    <row r="111" spans="1:15" ht="15.75" customHeight="1" x14ac:dyDescent="0.35">
      <c r="A111" s="21"/>
      <c r="B111" s="19"/>
      <c r="C111" s="20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</row>
    <row r="112" spans="1:15" ht="15.75" customHeight="1" x14ac:dyDescent="0.35">
      <c r="A112" s="21"/>
      <c r="B112" s="19"/>
      <c r="C112" s="20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</row>
    <row r="113" spans="1:15" ht="15.75" customHeight="1" x14ac:dyDescent="0.35">
      <c r="A113" s="21"/>
      <c r="B113" s="19"/>
      <c r="C113" s="20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</row>
    <row r="114" spans="1:15" ht="15.75" customHeight="1" x14ac:dyDescent="0.35">
      <c r="A114" s="21"/>
      <c r="B114" s="19"/>
      <c r="C114" s="20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</row>
    <row r="115" spans="1:15" ht="15.75" customHeight="1" x14ac:dyDescent="0.35">
      <c r="A115" s="21"/>
      <c r="B115" s="19"/>
      <c r="C115" s="20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</row>
    <row r="116" spans="1:15" ht="15.75" customHeight="1" x14ac:dyDescent="0.35">
      <c r="A116" s="21"/>
      <c r="B116" s="19"/>
      <c r="C116" s="20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</row>
    <row r="117" spans="1:15" ht="15.75" customHeight="1" x14ac:dyDescent="0.35">
      <c r="A117" s="21"/>
      <c r="B117" s="19"/>
      <c r="C117" s="20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</row>
    <row r="118" spans="1:15" ht="15.75" customHeight="1" x14ac:dyDescent="0.35">
      <c r="A118" s="21"/>
      <c r="B118" s="19"/>
      <c r="C118" s="20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</row>
    <row r="119" spans="1:15" ht="15.75" customHeight="1" x14ac:dyDescent="0.35">
      <c r="A119" s="21"/>
      <c r="B119" s="19"/>
      <c r="C119" s="20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</row>
    <row r="120" spans="1:15" ht="15.75" customHeight="1" x14ac:dyDescent="0.35">
      <c r="A120" s="21"/>
      <c r="B120" s="19"/>
      <c r="C120" s="20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</row>
    <row r="121" spans="1:15" ht="15.75" customHeight="1" x14ac:dyDescent="0.35">
      <c r="A121" s="21"/>
      <c r="B121" s="19"/>
      <c r="C121" s="20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</row>
    <row r="122" spans="1:15" ht="15.75" customHeight="1" x14ac:dyDescent="0.35">
      <c r="A122" s="21"/>
      <c r="B122" s="19"/>
      <c r="C122" s="20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</row>
    <row r="123" spans="1:15" ht="15.75" customHeight="1" x14ac:dyDescent="0.35">
      <c r="A123" s="21"/>
      <c r="B123" s="19"/>
      <c r="C123" s="20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</row>
    <row r="124" spans="1:15" ht="15.75" customHeight="1" x14ac:dyDescent="0.35">
      <c r="A124" s="21"/>
      <c r="B124" s="19"/>
      <c r="C124" s="20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</row>
    <row r="125" spans="1:15" ht="15.75" customHeight="1" x14ac:dyDescent="0.35">
      <c r="A125" s="21"/>
      <c r="B125" s="19"/>
      <c r="C125" s="20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</row>
    <row r="126" spans="1:15" ht="15.75" customHeight="1" x14ac:dyDescent="0.35">
      <c r="A126" s="21"/>
      <c r="B126" s="19"/>
      <c r="C126" s="20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</row>
    <row r="127" spans="1:15" ht="15.75" customHeight="1" x14ac:dyDescent="0.35">
      <c r="A127" s="21"/>
      <c r="B127" s="19"/>
      <c r="C127" s="20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</row>
    <row r="128" spans="1:15" ht="15.75" customHeight="1" x14ac:dyDescent="0.35">
      <c r="A128" s="21"/>
      <c r="B128" s="19"/>
      <c r="C128" s="20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</row>
    <row r="129" spans="1:15" ht="15.75" customHeight="1" x14ac:dyDescent="0.35">
      <c r="A129" s="21"/>
      <c r="B129" s="19"/>
      <c r="C129" s="20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</row>
    <row r="130" spans="1:15" ht="15.75" customHeight="1" x14ac:dyDescent="0.35">
      <c r="A130" s="21"/>
      <c r="B130" s="19"/>
      <c r="C130" s="20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</row>
    <row r="131" spans="1:15" ht="15.75" customHeight="1" x14ac:dyDescent="0.35">
      <c r="A131" s="21"/>
      <c r="B131" s="19"/>
      <c r="C131" s="20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</row>
    <row r="132" spans="1:15" ht="15.75" customHeight="1" x14ac:dyDescent="0.35">
      <c r="A132" s="21"/>
      <c r="B132" s="19"/>
      <c r="C132" s="20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</row>
    <row r="133" spans="1:15" ht="15.75" customHeight="1" x14ac:dyDescent="0.35">
      <c r="A133" s="21"/>
      <c r="B133" s="19"/>
      <c r="C133" s="20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</row>
    <row r="134" spans="1:15" ht="15.75" customHeight="1" x14ac:dyDescent="0.35">
      <c r="A134" s="21"/>
      <c r="B134" s="19"/>
      <c r="C134" s="20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</row>
    <row r="135" spans="1:15" ht="15.75" customHeight="1" x14ac:dyDescent="0.35">
      <c r="A135" s="21"/>
      <c r="B135" s="19"/>
      <c r="C135" s="20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</row>
    <row r="136" spans="1:15" ht="15.75" customHeight="1" x14ac:dyDescent="0.35">
      <c r="A136" s="21"/>
      <c r="B136" s="19"/>
      <c r="C136" s="20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</row>
    <row r="137" spans="1:15" ht="15.75" customHeight="1" x14ac:dyDescent="0.35">
      <c r="A137" s="21"/>
      <c r="B137" s="19"/>
      <c r="C137" s="20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</row>
    <row r="138" spans="1:15" ht="15.75" customHeight="1" x14ac:dyDescent="0.35">
      <c r="A138" s="21"/>
      <c r="B138" s="19"/>
      <c r="C138" s="20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</row>
    <row r="139" spans="1:15" ht="15.75" customHeight="1" x14ac:dyDescent="0.35">
      <c r="A139" s="21"/>
      <c r="B139" s="19"/>
      <c r="C139" s="20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</row>
    <row r="140" spans="1:15" ht="15.75" customHeight="1" x14ac:dyDescent="0.35">
      <c r="A140" s="21"/>
      <c r="B140" s="19"/>
      <c r="C140" s="20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</row>
    <row r="141" spans="1:15" ht="15.75" customHeight="1" x14ac:dyDescent="0.35">
      <c r="A141" s="21"/>
      <c r="B141" s="19"/>
      <c r="C141" s="20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</row>
    <row r="142" spans="1:15" ht="15.75" customHeight="1" x14ac:dyDescent="0.35">
      <c r="A142" s="21"/>
      <c r="B142" s="19"/>
      <c r="C142" s="20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</row>
    <row r="143" spans="1:15" ht="15.75" customHeight="1" x14ac:dyDescent="0.35">
      <c r="A143" s="21"/>
      <c r="B143" s="19"/>
      <c r="C143" s="20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</row>
    <row r="144" spans="1:15" ht="15.75" customHeight="1" x14ac:dyDescent="0.35">
      <c r="A144" s="21"/>
      <c r="B144" s="19"/>
      <c r="C144" s="20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</row>
    <row r="145" spans="1:15" ht="15.75" customHeight="1" x14ac:dyDescent="0.35">
      <c r="A145" s="21"/>
      <c r="B145" s="19"/>
      <c r="C145" s="20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</row>
    <row r="146" spans="1:15" ht="15.75" customHeight="1" x14ac:dyDescent="0.35">
      <c r="A146" s="21"/>
      <c r="B146" s="19"/>
      <c r="C146" s="20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</row>
    <row r="147" spans="1:15" ht="15.75" customHeight="1" x14ac:dyDescent="0.35">
      <c r="A147" s="21"/>
      <c r="B147" s="19"/>
      <c r="C147" s="20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</row>
    <row r="148" spans="1:15" ht="15.75" customHeight="1" x14ac:dyDescent="0.35">
      <c r="A148" s="21"/>
      <c r="B148" s="19"/>
      <c r="C148" s="20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</row>
    <row r="149" spans="1:15" ht="15.75" customHeight="1" x14ac:dyDescent="0.35">
      <c r="A149" s="21"/>
      <c r="B149" s="19"/>
      <c r="C149" s="20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</row>
    <row r="150" spans="1:15" ht="15.75" customHeight="1" x14ac:dyDescent="0.35">
      <c r="A150" s="21"/>
      <c r="B150" s="19"/>
      <c r="C150" s="20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</row>
    <row r="151" spans="1:15" ht="15.75" customHeight="1" x14ac:dyDescent="0.35">
      <c r="A151" s="21"/>
      <c r="B151" s="19"/>
      <c r="C151" s="20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</row>
    <row r="152" spans="1:15" ht="15.75" customHeight="1" x14ac:dyDescent="0.35">
      <c r="A152" s="21"/>
      <c r="B152" s="19"/>
      <c r="C152" s="20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</row>
    <row r="153" spans="1:15" ht="15.75" customHeight="1" x14ac:dyDescent="0.35">
      <c r="A153" s="21"/>
      <c r="B153" s="19"/>
      <c r="C153" s="20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</row>
    <row r="154" spans="1:15" ht="15.75" customHeight="1" x14ac:dyDescent="0.35">
      <c r="A154" s="21"/>
      <c r="B154" s="19"/>
      <c r="C154" s="20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</row>
    <row r="155" spans="1:15" ht="15.75" customHeight="1" x14ac:dyDescent="0.35">
      <c r="A155" s="21"/>
      <c r="B155" s="19"/>
      <c r="C155" s="20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</row>
    <row r="156" spans="1:15" ht="15.75" customHeight="1" x14ac:dyDescent="0.35">
      <c r="A156" s="21"/>
      <c r="B156" s="19"/>
      <c r="C156" s="20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</row>
    <row r="157" spans="1:15" ht="15.75" customHeight="1" x14ac:dyDescent="0.35">
      <c r="A157" s="21"/>
      <c r="B157" s="19"/>
      <c r="C157" s="20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</row>
    <row r="158" spans="1:15" ht="15.75" customHeight="1" x14ac:dyDescent="0.35">
      <c r="A158" s="21"/>
      <c r="B158" s="19"/>
      <c r="C158" s="20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</row>
    <row r="159" spans="1:15" ht="15.75" customHeight="1" x14ac:dyDescent="0.35">
      <c r="A159" s="21"/>
      <c r="B159" s="19"/>
      <c r="C159" s="20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</row>
    <row r="160" spans="1:15" ht="15.75" customHeight="1" x14ac:dyDescent="0.35">
      <c r="A160" s="21"/>
      <c r="B160" s="19"/>
      <c r="C160" s="20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</row>
    <row r="161" spans="1:15" ht="15.75" customHeight="1" x14ac:dyDescent="0.35">
      <c r="A161" s="21"/>
      <c r="B161" s="19"/>
      <c r="C161" s="20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</row>
    <row r="162" spans="1:15" ht="15.75" customHeight="1" x14ac:dyDescent="0.35">
      <c r="A162" s="21"/>
      <c r="B162" s="19"/>
      <c r="C162" s="20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</row>
    <row r="163" spans="1:15" ht="15.75" customHeight="1" x14ac:dyDescent="0.35">
      <c r="A163" s="21"/>
      <c r="B163" s="19"/>
      <c r="C163" s="20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</row>
    <row r="164" spans="1:15" ht="15.75" customHeight="1" x14ac:dyDescent="0.35">
      <c r="A164" s="21"/>
      <c r="B164" s="19"/>
      <c r="C164" s="20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</row>
    <row r="165" spans="1:15" ht="15.75" customHeight="1" x14ac:dyDescent="0.35">
      <c r="A165" s="21"/>
      <c r="B165" s="19"/>
      <c r="C165" s="20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</row>
    <row r="166" spans="1:15" ht="15.75" customHeight="1" x14ac:dyDescent="0.35">
      <c r="A166" s="21"/>
      <c r="B166" s="19"/>
      <c r="C166" s="20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</row>
    <row r="167" spans="1:15" ht="15.75" customHeight="1" x14ac:dyDescent="0.35">
      <c r="A167" s="21"/>
      <c r="B167" s="19"/>
      <c r="C167" s="20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</row>
    <row r="168" spans="1:15" ht="15.75" customHeight="1" x14ac:dyDescent="0.35">
      <c r="A168" s="21"/>
      <c r="B168" s="19"/>
      <c r="C168" s="20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</row>
    <row r="169" spans="1:15" ht="15.75" customHeight="1" x14ac:dyDescent="0.35">
      <c r="A169" s="21"/>
      <c r="B169" s="19"/>
      <c r="C169" s="20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</row>
    <row r="170" spans="1:15" ht="15.75" customHeight="1" x14ac:dyDescent="0.35">
      <c r="A170" s="21"/>
      <c r="B170" s="19"/>
      <c r="C170" s="20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</row>
    <row r="171" spans="1:15" ht="15.75" customHeight="1" x14ac:dyDescent="0.35">
      <c r="A171" s="21"/>
      <c r="B171" s="19"/>
      <c r="C171" s="20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</row>
    <row r="172" spans="1:15" ht="15.75" customHeight="1" x14ac:dyDescent="0.35">
      <c r="A172" s="21"/>
      <c r="B172" s="19"/>
      <c r="C172" s="20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</row>
    <row r="173" spans="1:15" ht="15.75" customHeight="1" x14ac:dyDescent="0.35">
      <c r="A173" s="21"/>
      <c r="B173" s="19"/>
      <c r="C173" s="20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</row>
    <row r="174" spans="1:15" ht="15.75" customHeight="1" x14ac:dyDescent="0.35">
      <c r="A174" s="21"/>
      <c r="B174" s="19"/>
      <c r="C174" s="20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</row>
    <row r="175" spans="1:15" ht="15.75" customHeight="1" x14ac:dyDescent="0.35">
      <c r="A175" s="21"/>
      <c r="B175" s="19"/>
      <c r="C175" s="20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</row>
    <row r="176" spans="1:15" ht="15.75" customHeight="1" x14ac:dyDescent="0.35">
      <c r="A176" s="21"/>
      <c r="B176" s="19"/>
      <c r="C176" s="20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</row>
    <row r="177" spans="1:15" ht="15.75" customHeight="1" x14ac:dyDescent="0.35">
      <c r="A177" s="21"/>
      <c r="B177" s="19"/>
      <c r="C177" s="20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</row>
    <row r="178" spans="1:15" ht="15.75" customHeight="1" x14ac:dyDescent="0.35">
      <c r="A178" s="21"/>
      <c r="B178" s="19"/>
      <c r="C178" s="20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</row>
    <row r="179" spans="1:15" ht="15.75" customHeight="1" x14ac:dyDescent="0.35">
      <c r="A179" s="21"/>
      <c r="B179" s="19"/>
      <c r="C179" s="20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</row>
    <row r="180" spans="1:15" ht="15.75" customHeight="1" x14ac:dyDescent="0.35">
      <c r="A180" s="21"/>
      <c r="B180" s="19"/>
      <c r="C180" s="20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</row>
    <row r="181" spans="1:15" ht="15.75" customHeight="1" x14ac:dyDescent="0.35">
      <c r="A181" s="21"/>
      <c r="B181" s="19"/>
      <c r="C181" s="20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</row>
    <row r="182" spans="1:15" ht="15.75" customHeight="1" x14ac:dyDescent="0.35">
      <c r="A182" s="21"/>
      <c r="B182" s="19"/>
      <c r="C182" s="20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</row>
    <row r="183" spans="1:15" ht="15.75" customHeight="1" x14ac:dyDescent="0.35">
      <c r="A183" s="21"/>
      <c r="B183" s="19"/>
      <c r="C183" s="20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</row>
    <row r="184" spans="1:15" ht="15.75" customHeight="1" x14ac:dyDescent="0.35">
      <c r="A184" s="21"/>
      <c r="B184" s="19"/>
      <c r="C184" s="20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</row>
    <row r="185" spans="1:15" ht="15.75" customHeight="1" x14ac:dyDescent="0.35">
      <c r="A185" s="21"/>
      <c r="B185" s="19"/>
      <c r="C185" s="20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</row>
    <row r="186" spans="1:15" ht="15.75" customHeight="1" x14ac:dyDescent="0.35">
      <c r="A186" s="21"/>
      <c r="B186" s="19"/>
      <c r="C186" s="20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</row>
    <row r="187" spans="1:15" ht="15.75" customHeight="1" x14ac:dyDescent="0.35">
      <c r="A187" s="21"/>
      <c r="B187" s="19"/>
      <c r="C187" s="20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</row>
    <row r="188" spans="1:15" ht="15.75" customHeight="1" x14ac:dyDescent="0.35">
      <c r="A188" s="21"/>
      <c r="B188" s="19"/>
      <c r="C188" s="20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</row>
    <row r="189" spans="1:15" ht="15.75" customHeight="1" x14ac:dyDescent="0.35">
      <c r="A189" s="21"/>
      <c r="B189" s="19"/>
      <c r="C189" s="20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</row>
    <row r="190" spans="1:15" ht="15.75" customHeight="1" x14ac:dyDescent="0.35">
      <c r="A190" s="21"/>
      <c r="B190" s="19"/>
      <c r="C190" s="20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</row>
    <row r="191" spans="1:15" ht="15.75" customHeight="1" x14ac:dyDescent="0.35">
      <c r="A191" s="21"/>
      <c r="B191" s="19"/>
      <c r="C191" s="20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</row>
    <row r="192" spans="1:15" ht="15.75" customHeight="1" x14ac:dyDescent="0.35">
      <c r="A192" s="21"/>
      <c r="B192" s="19"/>
      <c r="C192" s="20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</row>
    <row r="193" spans="1:15" ht="15.75" customHeight="1" x14ac:dyDescent="0.35">
      <c r="A193" s="21"/>
      <c r="B193" s="19"/>
      <c r="C193" s="20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</row>
    <row r="194" spans="1:15" ht="15.75" customHeight="1" x14ac:dyDescent="0.35">
      <c r="A194" s="21"/>
      <c r="B194" s="19"/>
      <c r="C194" s="20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</row>
    <row r="195" spans="1:15" ht="15.75" customHeight="1" x14ac:dyDescent="0.35">
      <c r="A195" s="21"/>
      <c r="B195" s="19"/>
      <c r="C195" s="20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</row>
    <row r="196" spans="1:15" ht="15.75" customHeight="1" x14ac:dyDescent="0.35">
      <c r="A196" s="21"/>
      <c r="B196" s="19"/>
      <c r="C196" s="20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</row>
    <row r="197" spans="1:15" ht="15.75" customHeight="1" x14ac:dyDescent="0.35">
      <c r="A197" s="21"/>
      <c r="B197" s="19"/>
      <c r="C197" s="20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</row>
    <row r="198" spans="1:15" ht="15.75" customHeight="1" x14ac:dyDescent="0.35">
      <c r="A198" s="21"/>
      <c r="B198" s="19"/>
      <c r="C198" s="20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</row>
    <row r="199" spans="1:15" ht="15.75" customHeight="1" x14ac:dyDescent="0.35">
      <c r="A199" s="21"/>
      <c r="B199" s="19"/>
      <c r="C199" s="20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</row>
    <row r="200" spans="1:15" ht="15.75" customHeight="1" x14ac:dyDescent="0.35">
      <c r="A200" s="21"/>
      <c r="B200" s="19"/>
      <c r="C200" s="20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</row>
    <row r="201" spans="1:15" ht="15.75" customHeight="1" x14ac:dyDescent="0.35">
      <c r="A201" s="21"/>
      <c r="B201" s="19"/>
      <c r="C201" s="20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</row>
    <row r="202" spans="1:15" ht="15.75" customHeight="1" x14ac:dyDescent="0.35">
      <c r="A202" s="21"/>
      <c r="B202" s="19"/>
      <c r="C202" s="20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</row>
    <row r="203" spans="1:15" ht="15.75" customHeight="1" x14ac:dyDescent="0.35">
      <c r="A203" s="21"/>
      <c r="B203" s="19"/>
      <c r="C203" s="20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</row>
    <row r="204" spans="1:15" ht="15.75" customHeight="1" x14ac:dyDescent="0.35">
      <c r="A204" s="21"/>
      <c r="B204" s="19"/>
      <c r="C204" s="20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</row>
    <row r="205" spans="1:15" ht="15.75" customHeight="1" x14ac:dyDescent="0.35">
      <c r="A205" s="21"/>
      <c r="B205" s="19"/>
      <c r="C205" s="20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</row>
    <row r="206" spans="1:15" ht="15.75" customHeight="1" x14ac:dyDescent="0.35">
      <c r="A206" s="21"/>
      <c r="B206" s="19"/>
      <c r="C206" s="20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</row>
    <row r="207" spans="1:15" ht="15.75" customHeight="1" x14ac:dyDescent="0.35">
      <c r="A207" s="21"/>
      <c r="B207" s="19"/>
      <c r="C207" s="20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</row>
    <row r="208" spans="1:15" ht="15.75" customHeight="1" x14ac:dyDescent="0.35">
      <c r="A208" s="21"/>
      <c r="B208" s="19"/>
      <c r="C208" s="20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</row>
    <row r="209" spans="1:15" ht="15.75" customHeight="1" x14ac:dyDescent="0.35">
      <c r="A209" s="21"/>
      <c r="B209" s="19"/>
      <c r="C209" s="20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</row>
    <row r="210" spans="1:15" ht="15.75" customHeight="1" x14ac:dyDescent="0.35">
      <c r="A210" s="21"/>
      <c r="B210" s="19"/>
      <c r="C210" s="20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</row>
    <row r="211" spans="1:15" ht="15.75" customHeight="1" x14ac:dyDescent="0.35">
      <c r="A211" s="21"/>
      <c r="B211" s="19"/>
      <c r="C211" s="20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</row>
    <row r="212" spans="1:15" ht="15.75" customHeight="1" x14ac:dyDescent="0.35">
      <c r="A212" s="21"/>
      <c r="B212" s="19"/>
      <c r="C212" s="20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</row>
    <row r="213" spans="1:15" ht="15.75" customHeight="1" x14ac:dyDescent="0.35">
      <c r="A213" s="21"/>
      <c r="B213" s="19"/>
      <c r="C213" s="20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</row>
    <row r="214" spans="1:15" ht="15.75" customHeight="1" x14ac:dyDescent="0.35">
      <c r="A214" s="21"/>
      <c r="B214" s="19"/>
      <c r="C214" s="20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</row>
    <row r="215" spans="1:15" ht="15.75" customHeight="1" x14ac:dyDescent="0.35">
      <c r="A215" s="21"/>
      <c r="B215" s="19"/>
      <c r="C215" s="20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</row>
    <row r="216" spans="1:15" ht="15.75" customHeight="1" x14ac:dyDescent="0.35">
      <c r="A216" s="21"/>
      <c r="B216" s="19"/>
      <c r="C216" s="20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</row>
    <row r="217" spans="1:15" ht="15.75" customHeight="1" x14ac:dyDescent="0.35">
      <c r="A217" s="21"/>
      <c r="B217" s="19"/>
      <c r="C217" s="20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</row>
    <row r="218" spans="1:15" ht="15.75" customHeight="1" x14ac:dyDescent="0.35">
      <c r="A218" s="21"/>
      <c r="B218" s="19"/>
      <c r="C218" s="20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</row>
    <row r="219" spans="1:15" ht="15.75" customHeight="1" x14ac:dyDescent="0.35">
      <c r="A219" s="21"/>
      <c r="B219" s="19"/>
      <c r="C219" s="20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</row>
    <row r="220" spans="1:15" ht="15.75" customHeight="1" x14ac:dyDescent="0.35">
      <c r="A220" s="21"/>
      <c r="B220" s="19"/>
      <c r="C220" s="20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</row>
    <row r="221" spans="1:15" ht="15.75" customHeight="1" x14ac:dyDescent="0.35">
      <c r="A221" s="21"/>
      <c r="B221" s="19"/>
      <c r="C221" s="20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</row>
    <row r="222" spans="1:15" ht="15.75" customHeight="1" x14ac:dyDescent="0.35">
      <c r="A222" s="21"/>
      <c r="B222" s="19"/>
      <c r="C222" s="20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</row>
    <row r="223" spans="1:15" ht="15.75" customHeight="1" x14ac:dyDescent="0.35">
      <c r="A223" s="21"/>
      <c r="B223" s="19"/>
      <c r="C223" s="20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</row>
    <row r="224" spans="1:15" ht="15.75" customHeight="1" x14ac:dyDescent="0.35">
      <c r="A224" s="21"/>
      <c r="B224" s="19"/>
      <c r="C224" s="20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</row>
    <row r="225" spans="1:15" ht="15.75" customHeight="1" x14ac:dyDescent="0.35">
      <c r="A225" s="21"/>
      <c r="B225" s="19"/>
      <c r="C225" s="20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</row>
    <row r="226" spans="1:15" ht="15.75" customHeight="1" x14ac:dyDescent="0.35">
      <c r="A226" s="21"/>
      <c r="B226" s="19"/>
      <c r="C226" s="20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</row>
    <row r="227" spans="1:15" ht="15.75" customHeight="1" x14ac:dyDescent="0.35">
      <c r="A227" s="21"/>
      <c r="B227" s="19"/>
      <c r="C227" s="20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</row>
    <row r="228" spans="1:15" ht="15.75" customHeight="1" x14ac:dyDescent="0.35">
      <c r="A228" s="21"/>
      <c r="B228" s="19"/>
      <c r="C228" s="20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</row>
    <row r="229" spans="1:15" ht="15.75" customHeight="1" x14ac:dyDescent="0.35">
      <c r="A229" s="21"/>
      <c r="B229" s="19"/>
      <c r="C229" s="20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</row>
    <row r="230" spans="1:15" ht="15.75" customHeight="1" x14ac:dyDescent="0.35">
      <c r="A230" s="21"/>
      <c r="B230" s="19"/>
      <c r="C230" s="20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</row>
    <row r="231" spans="1:15" ht="15.75" customHeight="1" x14ac:dyDescent="0.35">
      <c r="A231" s="21"/>
      <c r="B231" s="19"/>
      <c r="C231" s="20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</row>
    <row r="232" spans="1:15" ht="15.75" customHeight="1" x14ac:dyDescent="0.35">
      <c r="A232" s="21"/>
      <c r="B232" s="19"/>
      <c r="C232" s="20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</row>
    <row r="233" spans="1:15" ht="15.75" customHeight="1" x14ac:dyDescent="0.35">
      <c r="A233" s="21"/>
      <c r="B233" s="19"/>
      <c r="C233" s="20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</row>
    <row r="234" spans="1:15" ht="15.75" customHeight="1" x14ac:dyDescent="0.35">
      <c r="A234" s="21"/>
      <c r="B234" s="19"/>
      <c r="C234" s="20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</row>
    <row r="235" spans="1:15" ht="15.75" customHeight="1" x14ac:dyDescent="0.35">
      <c r="A235" s="21"/>
      <c r="B235" s="19"/>
      <c r="C235" s="20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</row>
    <row r="236" spans="1:15" ht="15.75" customHeight="1" x14ac:dyDescent="0.35">
      <c r="A236" s="21"/>
      <c r="B236" s="19"/>
      <c r="C236" s="20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</row>
    <row r="237" spans="1:15" ht="15.75" customHeight="1" x14ac:dyDescent="0.35">
      <c r="A237" s="21"/>
      <c r="B237" s="19"/>
      <c r="C237" s="20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</row>
    <row r="238" spans="1:15" ht="15.75" customHeight="1" x14ac:dyDescent="0.35">
      <c r="A238" s="21"/>
      <c r="B238" s="19"/>
      <c r="C238" s="20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</row>
    <row r="239" spans="1:15" ht="15.75" customHeight="1" x14ac:dyDescent="0.35">
      <c r="A239" s="21"/>
      <c r="B239" s="19"/>
      <c r="C239" s="20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</row>
    <row r="240" spans="1:15" ht="15.75" customHeight="1" x14ac:dyDescent="0.35">
      <c r="A240" s="21"/>
      <c r="B240" s="19"/>
      <c r="C240" s="20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</row>
    <row r="241" spans="1:15" ht="15.75" customHeight="1" x14ac:dyDescent="0.35">
      <c r="A241" s="21"/>
      <c r="B241" s="19"/>
      <c r="C241" s="20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</row>
    <row r="242" spans="1:15" ht="15.75" customHeight="1" x14ac:dyDescent="0.35">
      <c r="A242" s="21"/>
      <c r="B242" s="19"/>
      <c r="C242" s="20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</row>
    <row r="243" spans="1:15" ht="15.75" customHeight="1" x14ac:dyDescent="0.35">
      <c r="A243" s="21"/>
      <c r="B243" s="19"/>
      <c r="C243" s="20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</row>
    <row r="244" spans="1:15" ht="15.75" customHeight="1" x14ac:dyDescent="0.35">
      <c r="A244" s="21"/>
      <c r="B244" s="19"/>
      <c r="C244" s="20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</row>
    <row r="245" spans="1:15" ht="15.75" customHeight="1" x14ac:dyDescent="0.35">
      <c r="A245" s="21"/>
      <c r="B245" s="19"/>
      <c r="C245" s="20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</row>
    <row r="246" spans="1:15" ht="15.75" customHeight="1" x14ac:dyDescent="0.35">
      <c r="A246" s="21"/>
      <c r="B246" s="19"/>
      <c r="C246" s="20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</row>
    <row r="247" spans="1:15" ht="15.75" customHeight="1" x14ac:dyDescent="0.35">
      <c r="A247" s="21"/>
      <c r="B247" s="19"/>
      <c r="C247" s="20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</row>
    <row r="248" spans="1:15" ht="15.75" customHeight="1" x14ac:dyDescent="0.35">
      <c r="A248" s="21"/>
      <c r="B248" s="19"/>
      <c r="C248" s="20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</row>
    <row r="249" spans="1:15" ht="15.75" customHeight="1" x14ac:dyDescent="0.35">
      <c r="A249" s="21"/>
      <c r="B249" s="19"/>
      <c r="C249" s="20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</row>
    <row r="250" spans="1:15" ht="15.75" customHeight="1" x14ac:dyDescent="0.35">
      <c r="A250" s="21"/>
      <c r="B250" s="19"/>
      <c r="C250" s="20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</row>
    <row r="251" spans="1:15" ht="15.75" customHeight="1" x14ac:dyDescent="0.35">
      <c r="A251" s="21"/>
      <c r="B251" s="19"/>
      <c r="C251" s="20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</row>
    <row r="252" spans="1:15" ht="15.75" customHeight="1" x14ac:dyDescent="0.35">
      <c r="A252" s="21"/>
      <c r="B252" s="19"/>
      <c r="C252" s="20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</row>
    <row r="253" spans="1:15" ht="15.75" customHeight="1" x14ac:dyDescent="0.35">
      <c r="A253" s="21"/>
      <c r="B253" s="19"/>
      <c r="C253" s="20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</row>
    <row r="254" spans="1:15" ht="15.75" customHeight="1" x14ac:dyDescent="0.35">
      <c r="A254" s="21"/>
      <c r="B254" s="19"/>
      <c r="C254" s="20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</row>
    <row r="255" spans="1:15" ht="15.75" customHeight="1" x14ac:dyDescent="0.35">
      <c r="A255" s="21"/>
      <c r="B255" s="19"/>
      <c r="C255" s="20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</row>
    <row r="256" spans="1:15" ht="15.75" customHeight="1" x14ac:dyDescent="0.35">
      <c r="A256" s="21"/>
      <c r="B256" s="19"/>
      <c r="C256" s="20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</row>
    <row r="257" spans="1:15" ht="15.75" customHeight="1" x14ac:dyDescent="0.35">
      <c r="A257" s="21"/>
      <c r="B257" s="19"/>
      <c r="C257" s="20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</row>
    <row r="258" spans="1:15" ht="15.75" customHeight="1" x14ac:dyDescent="0.35">
      <c r="A258" s="21"/>
      <c r="B258" s="19"/>
      <c r="C258" s="20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</row>
    <row r="259" spans="1:15" ht="15.75" customHeight="1" x14ac:dyDescent="0.35">
      <c r="A259" s="21"/>
      <c r="B259" s="19"/>
      <c r="C259" s="20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</row>
    <row r="260" spans="1:15" ht="15.75" customHeight="1" x14ac:dyDescent="0.35">
      <c r="A260" s="21"/>
      <c r="B260" s="19"/>
      <c r="C260" s="20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</row>
    <row r="261" spans="1:15" ht="15.75" customHeight="1" x14ac:dyDescent="0.35">
      <c r="A261" s="21"/>
      <c r="B261" s="19"/>
      <c r="C261" s="20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</row>
    <row r="262" spans="1:15" ht="15.75" customHeight="1" x14ac:dyDescent="0.35">
      <c r="A262" s="21"/>
      <c r="B262" s="19"/>
      <c r="C262" s="20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</row>
    <row r="263" spans="1:15" ht="15.75" customHeight="1" x14ac:dyDescent="0.35">
      <c r="A263" s="21"/>
      <c r="B263" s="19"/>
      <c r="C263" s="20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</row>
    <row r="264" spans="1:15" ht="15.75" customHeight="1" x14ac:dyDescent="0.35">
      <c r="A264" s="21"/>
      <c r="B264" s="19"/>
      <c r="C264" s="20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</row>
    <row r="265" spans="1:15" ht="15.75" customHeight="1" x14ac:dyDescent="0.35">
      <c r="A265" s="21"/>
      <c r="B265" s="19"/>
      <c r="C265" s="20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</row>
    <row r="266" spans="1:15" ht="15.75" customHeight="1" x14ac:dyDescent="0.35">
      <c r="A266" s="21"/>
      <c r="B266" s="19"/>
      <c r="C266" s="20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</row>
    <row r="267" spans="1:15" ht="15.75" customHeight="1" x14ac:dyDescent="0.35">
      <c r="A267" s="21"/>
      <c r="B267" s="19"/>
      <c r="C267" s="20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</row>
    <row r="268" spans="1:15" ht="15.75" customHeight="1" x14ac:dyDescent="0.35">
      <c r="A268" s="21"/>
      <c r="B268" s="19"/>
      <c r="C268" s="20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</row>
    <row r="269" spans="1:15" ht="15.75" customHeight="1" x14ac:dyDescent="0.35">
      <c r="A269" s="21"/>
      <c r="B269" s="19"/>
      <c r="C269" s="20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</row>
    <row r="270" spans="1:15" ht="15.75" customHeight="1" x14ac:dyDescent="0.35">
      <c r="A270" s="21"/>
      <c r="B270" s="19"/>
      <c r="C270" s="20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</row>
    <row r="271" spans="1:15" ht="15.75" customHeight="1" x14ac:dyDescent="0.35">
      <c r="A271" s="21"/>
      <c r="B271" s="19"/>
      <c r="C271" s="20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</row>
    <row r="272" spans="1:15" ht="15.75" customHeight="1" x14ac:dyDescent="0.35">
      <c r="A272" s="21"/>
      <c r="B272" s="19"/>
      <c r="C272" s="20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</row>
    <row r="273" spans="1:15" ht="15.75" customHeight="1" x14ac:dyDescent="0.35">
      <c r="A273" s="21"/>
      <c r="B273" s="19"/>
      <c r="C273" s="20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</row>
    <row r="274" spans="1:15" ht="15.75" customHeight="1" x14ac:dyDescent="0.35">
      <c r="A274" s="21"/>
      <c r="B274" s="19"/>
      <c r="C274" s="20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</row>
    <row r="275" spans="1:15" ht="15.75" customHeight="1" x14ac:dyDescent="0.35">
      <c r="A275" s="21"/>
      <c r="B275" s="19"/>
      <c r="C275" s="20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</row>
    <row r="276" spans="1:15" ht="15.75" customHeight="1" x14ac:dyDescent="0.35">
      <c r="A276" s="21"/>
      <c r="B276" s="19"/>
      <c r="C276" s="20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</row>
    <row r="277" spans="1:15" ht="15.75" customHeight="1" x14ac:dyDescent="0.35">
      <c r="A277" s="21"/>
      <c r="B277" s="19"/>
      <c r="C277" s="20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</row>
    <row r="278" spans="1:15" ht="15.75" customHeight="1" x14ac:dyDescent="0.35">
      <c r="A278" s="21"/>
      <c r="B278" s="19"/>
      <c r="C278" s="20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</row>
    <row r="279" spans="1:15" ht="15.75" customHeight="1" x14ac:dyDescent="0.35">
      <c r="A279" s="21"/>
      <c r="B279" s="19"/>
      <c r="C279" s="20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</row>
    <row r="280" spans="1:15" ht="15.75" customHeight="1" x14ac:dyDescent="0.35">
      <c r="A280" s="21"/>
      <c r="B280" s="19"/>
      <c r="C280" s="20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</row>
    <row r="281" spans="1:15" ht="15.75" customHeight="1" x14ac:dyDescent="0.35">
      <c r="A281" s="21"/>
      <c r="B281" s="19"/>
      <c r="C281" s="20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</row>
    <row r="282" spans="1:15" ht="15.75" customHeight="1" x14ac:dyDescent="0.35">
      <c r="A282" s="21"/>
      <c r="B282" s="19"/>
      <c r="C282" s="20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</row>
    <row r="283" spans="1:15" ht="15.75" customHeight="1" x14ac:dyDescent="0.35">
      <c r="A283" s="21"/>
      <c r="B283" s="19"/>
      <c r="C283" s="20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</row>
    <row r="284" spans="1:15" ht="15.75" customHeight="1" x14ac:dyDescent="0.35">
      <c r="A284" s="21"/>
      <c r="B284" s="19"/>
      <c r="C284" s="20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</row>
    <row r="285" spans="1:15" ht="15.75" customHeight="1" x14ac:dyDescent="0.35">
      <c r="A285" s="21"/>
      <c r="B285" s="19"/>
      <c r="C285" s="20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</row>
    <row r="286" spans="1:15" ht="15.75" customHeight="1" x14ac:dyDescent="0.35">
      <c r="A286" s="21"/>
      <c r="B286" s="19"/>
      <c r="C286" s="20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</row>
    <row r="287" spans="1:15" ht="15.75" customHeight="1" x14ac:dyDescent="0.35">
      <c r="A287" s="21"/>
      <c r="B287" s="19"/>
      <c r="C287" s="20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</row>
    <row r="288" spans="1:15" ht="15.75" customHeight="1" x14ac:dyDescent="0.35">
      <c r="A288" s="21"/>
      <c r="B288" s="19"/>
      <c r="C288" s="20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</row>
    <row r="289" spans="1:15" ht="15.75" customHeight="1" x14ac:dyDescent="0.35">
      <c r="A289" s="21"/>
      <c r="B289" s="19"/>
      <c r="C289" s="20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</row>
    <row r="290" spans="1:15" ht="15.75" customHeight="1" x14ac:dyDescent="0.35">
      <c r="A290" s="21"/>
      <c r="B290" s="19"/>
      <c r="C290" s="20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</row>
    <row r="291" spans="1:15" ht="15.75" customHeight="1" x14ac:dyDescent="0.35">
      <c r="A291" s="21"/>
      <c r="B291" s="19"/>
      <c r="C291" s="20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</row>
    <row r="292" spans="1:15" ht="15.75" customHeight="1" x14ac:dyDescent="0.35">
      <c r="A292" s="21"/>
      <c r="B292" s="19"/>
      <c r="C292" s="20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</row>
    <row r="293" spans="1:15" ht="15.75" customHeight="1" x14ac:dyDescent="0.35">
      <c r="A293" s="21"/>
      <c r="B293" s="19"/>
      <c r="C293" s="20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</row>
    <row r="294" spans="1:15" ht="15.75" customHeight="1" x14ac:dyDescent="0.35">
      <c r="A294" s="21"/>
      <c r="B294" s="19"/>
      <c r="C294" s="20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</row>
    <row r="295" spans="1:15" ht="15.75" customHeight="1" x14ac:dyDescent="0.35">
      <c r="A295" s="21"/>
      <c r="B295" s="19"/>
      <c r="C295" s="20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</row>
    <row r="296" spans="1:15" ht="15.75" customHeight="1" x14ac:dyDescent="0.35">
      <c r="A296" s="21"/>
      <c r="B296" s="19"/>
      <c r="C296" s="20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</row>
    <row r="297" spans="1:15" ht="15.75" customHeight="1" x14ac:dyDescent="0.35">
      <c r="A297" s="21"/>
      <c r="B297" s="19"/>
      <c r="C297" s="20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</row>
    <row r="298" spans="1:15" ht="15.75" customHeight="1" x14ac:dyDescent="0.35">
      <c r="A298" s="21"/>
      <c r="B298" s="19"/>
      <c r="C298" s="20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</row>
    <row r="299" spans="1:15" ht="15.75" customHeight="1" x14ac:dyDescent="0.35">
      <c r="A299" s="21"/>
      <c r="B299" s="19"/>
      <c r="C299" s="20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</row>
    <row r="300" spans="1:15" ht="15.75" customHeight="1" x14ac:dyDescent="0.35">
      <c r="A300" s="21"/>
      <c r="B300" s="19"/>
      <c r="C300" s="20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</row>
    <row r="301" spans="1:15" ht="15.75" customHeight="1" x14ac:dyDescent="0.35">
      <c r="A301" s="21"/>
      <c r="B301" s="19"/>
      <c r="C301" s="20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</row>
    <row r="302" spans="1:15" ht="15.75" customHeight="1" x14ac:dyDescent="0.35">
      <c r="A302" s="21"/>
      <c r="B302" s="19"/>
      <c r="C302" s="20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</row>
    <row r="303" spans="1:15" ht="15.75" customHeight="1" x14ac:dyDescent="0.35">
      <c r="A303" s="21"/>
      <c r="B303" s="19"/>
      <c r="C303" s="20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</row>
    <row r="304" spans="1:15" ht="15.75" customHeight="1" x14ac:dyDescent="0.35">
      <c r="A304" s="21"/>
      <c r="B304" s="19"/>
      <c r="C304" s="20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</row>
    <row r="305" spans="1:15" ht="15.75" customHeight="1" x14ac:dyDescent="0.35">
      <c r="A305" s="21"/>
      <c r="B305" s="19"/>
      <c r="C305" s="20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</row>
    <row r="306" spans="1:15" ht="15.75" customHeight="1" x14ac:dyDescent="0.35">
      <c r="A306" s="21"/>
      <c r="B306" s="19"/>
      <c r="C306" s="20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</row>
    <row r="307" spans="1:15" ht="15.75" customHeight="1" x14ac:dyDescent="0.35">
      <c r="A307" s="21"/>
      <c r="B307" s="19"/>
      <c r="C307" s="20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</row>
    <row r="308" spans="1:15" ht="15.75" customHeight="1" x14ac:dyDescent="0.35">
      <c r="A308" s="21"/>
      <c r="B308" s="19"/>
      <c r="C308" s="20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</row>
    <row r="309" spans="1:15" ht="15.75" customHeight="1" x14ac:dyDescent="0.35">
      <c r="A309" s="21"/>
      <c r="B309" s="19"/>
      <c r="C309" s="20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</row>
    <row r="310" spans="1:15" ht="15.75" customHeight="1" x14ac:dyDescent="0.35">
      <c r="A310" s="21"/>
      <c r="B310" s="19"/>
      <c r="C310" s="20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</row>
    <row r="311" spans="1:15" ht="15.75" customHeight="1" x14ac:dyDescent="0.35">
      <c r="A311" s="21"/>
      <c r="B311" s="19"/>
      <c r="C311" s="20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</row>
    <row r="312" spans="1:15" ht="15.75" customHeight="1" x14ac:dyDescent="0.35">
      <c r="A312" s="21"/>
      <c r="B312" s="19"/>
      <c r="C312" s="20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</row>
    <row r="313" spans="1:15" ht="15.75" customHeight="1" x14ac:dyDescent="0.35">
      <c r="A313" s="21"/>
      <c r="B313" s="19"/>
      <c r="C313" s="20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</row>
    <row r="314" spans="1:15" ht="15.75" customHeight="1" x14ac:dyDescent="0.35">
      <c r="A314" s="21"/>
      <c r="B314" s="19"/>
      <c r="C314" s="20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</row>
    <row r="315" spans="1:15" ht="15.75" customHeight="1" x14ac:dyDescent="0.35">
      <c r="A315" s="21"/>
      <c r="B315" s="19"/>
      <c r="C315" s="20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</row>
    <row r="316" spans="1:15" ht="15.75" customHeight="1" x14ac:dyDescent="0.35">
      <c r="A316" s="21"/>
      <c r="B316" s="19"/>
      <c r="C316" s="20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</row>
    <row r="317" spans="1:15" ht="15.75" customHeight="1" x14ac:dyDescent="0.35">
      <c r="A317" s="21"/>
      <c r="B317" s="19"/>
      <c r="C317" s="20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</row>
    <row r="318" spans="1:15" ht="15.75" customHeight="1" x14ac:dyDescent="0.35">
      <c r="A318" s="21"/>
      <c r="B318" s="19"/>
      <c r="C318" s="20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</row>
    <row r="319" spans="1:15" ht="15.75" customHeight="1" x14ac:dyDescent="0.35">
      <c r="A319" s="21"/>
      <c r="B319" s="19"/>
      <c r="C319" s="20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</row>
    <row r="320" spans="1:15" ht="15.75" customHeight="1" x14ac:dyDescent="0.35">
      <c r="A320" s="21"/>
      <c r="B320" s="19"/>
      <c r="C320" s="20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</row>
    <row r="321" spans="1:15" ht="15.75" customHeight="1" x14ac:dyDescent="0.35">
      <c r="A321" s="21"/>
      <c r="B321" s="19"/>
      <c r="C321" s="20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</row>
    <row r="322" spans="1:15" ht="15.75" customHeight="1" x14ac:dyDescent="0.35">
      <c r="A322" s="21"/>
      <c r="B322" s="19"/>
      <c r="C322" s="20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</row>
    <row r="323" spans="1:15" ht="15.75" customHeight="1" x14ac:dyDescent="0.35">
      <c r="A323" s="21"/>
      <c r="B323" s="19"/>
      <c r="C323" s="20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</row>
    <row r="324" spans="1:15" ht="15.75" customHeight="1" x14ac:dyDescent="0.35">
      <c r="A324" s="21"/>
      <c r="B324" s="19"/>
      <c r="C324" s="20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</row>
    <row r="325" spans="1:15" ht="15.75" customHeight="1" x14ac:dyDescent="0.35">
      <c r="A325" s="21"/>
      <c r="B325" s="19"/>
      <c r="C325" s="20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</row>
    <row r="326" spans="1:15" ht="15.75" customHeight="1" x14ac:dyDescent="0.35">
      <c r="A326" s="21"/>
      <c r="B326" s="19"/>
      <c r="C326" s="20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</row>
    <row r="327" spans="1:15" ht="15.75" customHeight="1" x14ac:dyDescent="0.35">
      <c r="A327" s="21"/>
      <c r="B327" s="19"/>
      <c r="C327" s="20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</row>
    <row r="328" spans="1:15" ht="15.75" customHeight="1" x14ac:dyDescent="0.35">
      <c r="A328" s="21"/>
      <c r="B328" s="19"/>
      <c r="C328" s="20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</row>
    <row r="329" spans="1:15" ht="15.75" customHeight="1" x14ac:dyDescent="0.35">
      <c r="A329" s="21"/>
      <c r="B329" s="19"/>
      <c r="C329" s="20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</row>
    <row r="330" spans="1:15" ht="15.75" customHeight="1" x14ac:dyDescent="0.35">
      <c r="A330" s="21"/>
      <c r="B330" s="19"/>
      <c r="C330" s="20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</row>
    <row r="331" spans="1:15" ht="15.75" customHeight="1" x14ac:dyDescent="0.35">
      <c r="A331" s="21"/>
      <c r="B331" s="19"/>
      <c r="C331" s="20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</row>
    <row r="332" spans="1:15" ht="15.75" customHeight="1" x14ac:dyDescent="0.35">
      <c r="A332" s="21"/>
      <c r="B332" s="19"/>
      <c r="C332" s="20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</row>
    <row r="333" spans="1:15" ht="15.75" customHeight="1" x14ac:dyDescent="0.35">
      <c r="A333" s="21"/>
      <c r="B333" s="19"/>
      <c r="C333" s="20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</row>
    <row r="334" spans="1:15" ht="15.75" customHeight="1" x14ac:dyDescent="0.35">
      <c r="A334" s="21"/>
      <c r="B334" s="19"/>
      <c r="C334" s="20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</row>
    <row r="335" spans="1:15" ht="15.75" customHeight="1" x14ac:dyDescent="0.35">
      <c r="A335" s="21"/>
      <c r="B335" s="19"/>
      <c r="C335" s="20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</row>
    <row r="336" spans="1:15" ht="15.75" customHeight="1" x14ac:dyDescent="0.35">
      <c r="A336" s="21"/>
      <c r="B336" s="19"/>
      <c r="C336" s="20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</row>
    <row r="337" spans="1:15" ht="15.75" customHeight="1" x14ac:dyDescent="0.35">
      <c r="A337" s="21"/>
      <c r="B337" s="19"/>
      <c r="C337" s="20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</row>
    <row r="338" spans="1:15" ht="15.75" customHeight="1" x14ac:dyDescent="0.35">
      <c r="A338" s="21"/>
      <c r="B338" s="19"/>
      <c r="C338" s="20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</row>
    <row r="339" spans="1:15" ht="15.75" customHeight="1" x14ac:dyDescent="0.35">
      <c r="A339" s="21"/>
      <c r="B339" s="19"/>
      <c r="C339" s="20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</row>
    <row r="340" spans="1:15" ht="15.75" customHeight="1" x14ac:dyDescent="0.35">
      <c r="A340" s="21"/>
      <c r="B340" s="19"/>
      <c r="C340" s="20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</row>
    <row r="341" spans="1:15" ht="15.75" customHeight="1" x14ac:dyDescent="0.35">
      <c r="A341" s="21"/>
      <c r="B341" s="19"/>
      <c r="C341" s="20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</row>
    <row r="342" spans="1:15" ht="15.75" customHeight="1" x14ac:dyDescent="0.35">
      <c r="A342" s="21"/>
      <c r="B342" s="19"/>
      <c r="C342" s="20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</row>
    <row r="343" spans="1:15" ht="15.75" customHeight="1" x14ac:dyDescent="0.35">
      <c r="A343" s="21"/>
      <c r="B343" s="19"/>
      <c r="C343" s="20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</row>
    <row r="344" spans="1:15" ht="15.75" customHeight="1" x14ac:dyDescent="0.35">
      <c r="A344" s="21"/>
      <c r="B344" s="19"/>
      <c r="C344" s="20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</row>
    <row r="345" spans="1:15" ht="15.75" customHeight="1" x14ac:dyDescent="0.35">
      <c r="A345" s="21"/>
      <c r="B345" s="19"/>
      <c r="C345" s="20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</row>
    <row r="346" spans="1:15" ht="15.75" customHeight="1" x14ac:dyDescent="0.35">
      <c r="A346" s="21"/>
      <c r="B346" s="19"/>
      <c r="C346" s="20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</row>
    <row r="347" spans="1:15" ht="15.75" customHeight="1" x14ac:dyDescent="0.35">
      <c r="A347" s="21"/>
      <c r="B347" s="19"/>
      <c r="C347" s="20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</row>
    <row r="348" spans="1:15" ht="15.75" customHeight="1" x14ac:dyDescent="0.35">
      <c r="A348" s="21"/>
      <c r="B348" s="19"/>
      <c r="C348" s="20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</row>
    <row r="349" spans="1:15" ht="15.75" customHeight="1" x14ac:dyDescent="0.35">
      <c r="A349" s="21"/>
      <c r="B349" s="19"/>
      <c r="C349" s="20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</row>
    <row r="350" spans="1:15" ht="15.75" customHeight="1" x14ac:dyDescent="0.35">
      <c r="A350" s="21"/>
      <c r="B350" s="19"/>
      <c r="C350" s="20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</row>
    <row r="351" spans="1:15" ht="15.75" customHeight="1" x14ac:dyDescent="0.35">
      <c r="A351" s="21"/>
      <c r="B351" s="19"/>
      <c r="C351" s="20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</row>
    <row r="352" spans="1:15" ht="15.75" customHeight="1" x14ac:dyDescent="0.35">
      <c r="A352" s="21"/>
      <c r="B352" s="19"/>
      <c r="C352" s="20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</row>
    <row r="353" spans="1:15" ht="15.75" customHeight="1" x14ac:dyDescent="0.35">
      <c r="A353" s="21"/>
      <c r="B353" s="19"/>
      <c r="C353" s="20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</row>
    <row r="354" spans="1:15" ht="15.75" customHeight="1" x14ac:dyDescent="0.35">
      <c r="A354" s="21"/>
      <c r="B354" s="19"/>
      <c r="C354" s="20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</row>
    <row r="355" spans="1:15" ht="15.75" customHeight="1" x14ac:dyDescent="0.35">
      <c r="A355" s="21"/>
      <c r="B355" s="19"/>
      <c r="C355" s="20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</row>
    <row r="356" spans="1:15" ht="15.75" customHeight="1" x14ac:dyDescent="0.35">
      <c r="A356" s="21"/>
      <c r="B356" s="19"/>
      <c r="C356" s="20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</row>
    <row r="357" spans="1:15" ht="15.75" customHeight="1" x14ac:dyDescent="0.35">
      <c r="A357" s="21"/>
      <c r="B357" s="19"/>
      <c r="C357" s="20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</row>
    <row r="358" spans="1:15" ht="15.75" customHeight="1" x14ac:dyDescent="0.35">
      <c r="A358" s="21"/>
      <c r="B358" s="19"/>
      <c r="C358" s="20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</row>
    <row r="359" spans="1:15" ht="15.75" customHeight="1" x14ac:dyDescent="0.35">
      <c r="A359" s="21"/>
      <c r="B359" s="19"/>
      <c r="C359" s="20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</row>
    <row r="360" spans="1:15" ht="15.75" customHeight="1" x14ac:dyDescent="0.35">
      <c r="A360" s="21"/>
      <c r="B360" s="19"/>
      <c r="C360" s="20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</row>
    <row r="361" spans="1:15" ht="15.75" customHeight="1" x14ac:dyDescent="0.35">
      <c r="A361" s="21"/>
      <c r="B361" s="19"/>
      <c r="C361" s="20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</row>
    <row r="362" spans="1:15" ht="15.75" customHeight="1" x14ac:dyDescent="0.35">
      <c r="A362" s="21"/>
      <c r="B362" s="19"/>
      <c r="C362" s="20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</row>
    <row r="363" spans="1:15" ht="15.75" customHeight="1" x14ac:dyDescent="0.35">
      <c r="A363" s="21"/>
      <c r="B363" s="19"/>
      <c r="C363" s="20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</row>
    <row r="364" spans="1:15" ht="15.75" customHeight="1" x14ac:dyDescent="0.35">
      <c r="A364" s="21"/>
      <c r="B364" s="19"/>
      <c r="C364" s="20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</row>
    <row r="365" spans="1:15" ht="15.75" customHeight="1" x14ac:dyDescent="0.35">
      <c r="A365" s="21"/>
      <c r="B365" s="19"/>
      <c r="C365" s="20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</row>
    <row r="366" spans="1:15" ht="15.75" customHeight="1" x14ac:dyDescent="0.35">
      <c r="A366" s="21"/>
      <c r="B366" s="19"/>
      <c r="C366" s="20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</row>
    <row r="367" spans="1:15" ht="15.75" customHeight="1" x14ac:dyDescent="0.35">
      <c r="A367" s="21"/>
      <c r="B367" s="19"/>
      <c r="C367" s="20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</row>
    <row r="368" spans="1:15" ht="15.75" customHeight="1" x14ac:dyDescent="0.35">
      <c r="A368" s="21"/>
      <c r="B368" s="19"/>
      <c r="C368" s="20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</row>
    <row r="369" spans="1:15" ht="15.75" customHeight="1" x14ac:dyDescent="0.35">
      <c r="A369" s="21"/>
      <c r="B369" s="19"/>
      <c r="C369" s="20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</row>
    <row r="370" spans="1:15" ht="15.75" customHeight="1" x14ac:dyDescent="0.35">
      <c r="A370" s="21"/>
      <c r="B370" s="19"/>
      <c r="C370" s="20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</row>
    <row r="371" spans="1:15" ht="15.75" customHeight="1" x14ac:dyDescent="0.35">
      <c r="A371" s="21"/>
      <c r="B371" s="19"/>
      <c r="C371" s="20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</row>
    <row r="372" spans="1:15" ht="15.75" customHeight="1" x14ac:dyDescent="0.35">
      <c r="A372" s="21"/>
      <c r="B372" s="19"/>
      <c r="C372" s="20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</row>
    <row r="373" spans="1:15" ht="15.75" customHeight="1" x14ac:dyDescent="0.35">
      <c r="A373" s="21"/>
      <c r="B373" s="19"/>
      <c r="C373" s="20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</row>
    <row r="374" spans="1:15" ht="15.75" customHeight="1" x14ac:dyDescent="0.35">
      <c r="A374" s="21"/>
      <c r="B374" s="19"/>
      <c r="C374" s="20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</row>
    <row r="375" spans="1:15" ht="15.75" customHeight="1" x14ac:dyDescent="0.35">
      <c r="A375" s="21"/>
      <c r="B375" s="19"/>
      <c r="C375" s="20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</row>
    <row r="376" spans="1:15" ht="15.75" customHeight="1" x14ac:dyDescent="0.35">
      <c r="A376" s="21"/>
      <c r="B376" s="19"/>
      <c r="C376" s="20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</row>
    <row r="377" spans="1:15" ht="15.75" customHeight="1" x14ac:dyDescent="0.35">
      <c r="A377" s="21"/>
      <c r="B377" s="19"/>
      <c r="C377" s="20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</row>
    <row r="378" spans="1:15" ht="15.75" customHeight="1" x14ac:dyDescent="0.35">
      <c r="A378" s="21"/>
      <c r="B378" s="19"/>
      <c r="C378" s="20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</row>
    <row r="379" spans="1:15" ht="15.75" customHeight="1" x14ac:dyDescent="0.35">
      <c r="A379" s="21"/>
      <c r="B379" s="19"/>
      <c r="C379" s="20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</row>
    <row r="380" spans="1:15" ht="15.75" customHeight="1" x14ac:dyDescent="0.35">
      <c r="A380" s="21"/>
      <c r="B380" s="19"/>
      <c r="C380" s="20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</row>
    <row r="381" spans="1:15" ht="15.75" customHeight="1" x14ac:dyDescent="0.35">
      <c r="A381" s="21"/>
      <c r="B381" s="19"/>
      <c r="C381" s="20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</row>
    <row r="382" spans="1:15" ht="15.75" customHeight="1" x14ac:dyDescent="0.35">
      <c r="A382" s="21"/>
      <c r="B382" s="19"/>
      <c r="C382" s="20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</row>
    <row r="383" spans="1:15" ht="15.75" customHeight="1" x14ac:dyDescent="0.35">
      <c r="A383" s="21"/>
      <c r="B383" s="19"/>
      <c r="C383" s="20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</row>
    <row r="384" spans="1:15" ht="15.75" customHeight="1" x14ac:dyDescent="0.35">
      <c r="A384" s="21"/>
      <c r="B384" s="19"/>
      <c r="C384" s="20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</row>
    <row r="385" spans="1:15" ht="15.75" customHeight="1" x14ac:dyDescent="0.35">
      <c r="A385" s="21"/>
      <c r="B385" s="19"/>
      <c r="C385" s="20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</row>
    <row r="386" spans="1:15" ht="15.75" customHeight="1" x14ac:dyDescent="0.35">
      <c r="A386" s="21"/>
      <c r="B386" s="19"/>
      <c r="C386" s="20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</row>
    <row r="387" spans="1:15" ht="15.75" customHeight="1" x14ac:dyDescent="0.35">
      <c r="A387" s="21"/>
      <c r="B387" s="19"/>
      <c r="C387" s="20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</row>
    <row r="388" spans="1:15" ht="15.75" customHeight="1" x14ac:dyDescent="0.35">
      <c r="A388" s="21"/>
      <c r="B388" s="19"/>
      <c r="C388" s="20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</row>
    <row r="389" spans="1:15" ht="15.75" customHeight="1" x14ac:dyDescent="0.35">
      <c r="A389" s="21"/>
      <c r="B389" s="19"/>
      <c r="C389" s="20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</row>
    <row r="390" spans="1:15" ht="15.75" customHeight="1" x14ac:dyDescent="0.35">
      <c r="A390" s="21"/>
      <c r="B390" s="19"/>
      <c r="C390" s="20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</row>
    <row r="391" spans="1:15" ht="15.75" customHeight="1" x14ac:dyDescent="0.35">
      <c r="A391" s="21"/>
      <c r="B391" s="19"/>
      <c r="C391" s="20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</row>
    <row r="392" spans="1:15" ht="15.75" customHeight="1" x14ac:dyDescent="0.35">
      <c r="A392" s="21"/>
      <c r="B392" s="19"/>
      <c r="C392" s="20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</row>
    <row r="393" spans="1:15" ht="15.75" customHeight="1" x14ac:dyDescent="0.35">
      <c r="A393" s="21"/>
      <c r="B393" s="19"/>
      <c r="C393" s="20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</row>
    <row r="394" spans="1:15" ht="15.75" customHeight="1" x14ac:dyDescent="0.35">
      <c r="A394" s="21"/>
      <c r="B394" s="19"/>
      <c r="C394" s="20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</row>
    <row r="395" spans="1:15" ht="15.75" customHeight="1" x14ac:dyDescent="0.35">
      <c r="A395" s="21"/>
      <c r="B395" s="19"/>
      <c r="C395" s="20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</row>
    <row r="396" spans="1:15" ht="15.75" customHeight="1" x14ac:dyDescent="0.35">
      <c r="A396" s="21"/>
      <c r="B396" s="19"/>
      <c r="C396" s="20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</row>
    <row r="397" spans="1:15" ht="15.75" customHeight="1" x14ac:dyDescent="0.35">
      <c r="A397" s="21"/>
      <c r="B397" s="19"/>
      <c r="C397" s="20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</row>
    <row r="398" spans="1:15" ht="15.75" customHeight="1" x14ac:dyDescent="0.35">
      <c r="A398" s="21"/>
      <c r="B398" s="19"/>
      <c r="C398" s="20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</row>
    <row r="399" spans="1:15" ht="15.75" customHeight="1" x14ac:dyDescent="0.35">
      <c r="A399" s="21"/>
      <c r="B399" s="19"/>
      <c r="C399" s="20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</row>
    <row r="400" spans="1:15" ht="15.75" customHeight="1" x14ac:dyDescent="0.35">
      <c r="A400" s="21"/>
      <c r="B400" s="19"/>
      <c r="C400" s="20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</row>
    <row r="401" spans="1:15" ht="15.75" customHeight="1" x14ac:dyDescent="0.35">
      <c r="A401" s="21"/>
      <c r="B401" s="19"/>
      <c r="C401" s="20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</row>
    <row r="402" spans="1:15" ht="15.75" customHeight="1" x14ac:dyDescent="0.35">
      <c r="A402" s="21"/>
      <c r="B402" s="19"/>
      <c r="C402" s="20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</row>
    <row r="403" spans="1:15" ht="15.75" customHeight="1" x14ac:dyDescent="0.35">
      <c r="A403" s="21"/>
      <c r="B403" s="19"/>
      <c r="C403" s="20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</row>
    <row r="404" spans="1:15" ht="15.75" customHeight="1" x14ac:dyDescent="0.35">
      <c r="A404" s="21"/>
      <c r="B404" s="19"/>
      <c r="C404" s="20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</row>
    <row r="405" spans="1:15" ht="15.75" customHeight="1" x14ac:dyDescent="0.35">
      <c r="A405" s="21"/>
      <c r="B405" s="19"/>
      <c r="C405" s="20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</row>
    <row r="406" spans="1:15" ht="15.75" customHeight="1" x14ac:dyDescent="0.35">
      <c r="A406" s="21"/>
      <c r="B406" s="19"/>
      <c r="C406" s="20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</row>
    <row r="407" spans="1:15" ht="15.75" customHeight="1" x14ac:dyDescent="0.35">
      <c r="A407" s="21"/>
      <c r="B407" s="19"/>
      <c r="C407" s="20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</row>
    <row r="408" spans="1:15" ht="15.75" customHeight="1" x14ac:dyDescent="0.35">
      <c r="A408" s="21"/>
      <c r="B408" s="19"/>
      <c r="C408" s="20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</row>
    <row r="409" spans="1:15" ht="15.75" customHeight="1" x14ac:dyDescent="0.35">
      <c r="A409" s="21"/>
      <c r="B409" s="19"/>
      <c r="C409" s="20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</row>
    <row r="410" spans="1:15" ht="15.75" customHeight="1" x14ac:dyDescent="0.35">
      <c r="A410" s="21"/>
      <c r="B410" s="19"/>
      <c r="C410" s="20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</row>
    <row r="411" spans="1:15" ht="15.75" customHeight="1" x14ac:dyDescent="0.35">
      <c r="A411" s="21"/>
      <c r="B411" s="19"/>
      <c r="C411" s="20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</row>
    <row r="412" spans="1:15" ht="15.75" customHeight="1" x14ac:dyDescent="0.35">
      <c r="A412" s="21"/>
      <c r="B412" s="19"/>
      <c r="C412" s="20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</row>
    <row r="413" spans="1:15" ht="15.75" customHeight="1" x14ac:dyDescent="0.35">
      <c r="A413" s="21"/>
      <c r="B413" s="19"/>
      <c r="C413" s="20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</row>
    <row r="414" spans="1:15" ht="15.75" customHeight="1" x14ac:dyDescent="0.35">
      <c r="A414" s="21"/>
      <c r="B414" s="19"/>
      <c r="C414" s="20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</row>
    <row r="415" spans="1:15" ht="15.75" customHeight="1" x14ac:dyDescent="0.35">
      <c r="A415" s="21"/>
      <c r="B415" s="19"/>
      <c r="C415" s="20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</row>
    <row r="416" spans="1:15" ht="15.75" customHeight="1" x14ac:dyDescent="0.35">
      <c r="A416" s="21"/>
      <c r="B416" s="19"/>
      <c r="C416" s="20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</row>
    <row r="417" spans="1:15" ht="15.75" customHeight="1" x14ac:dyDescent="0.35">
      <c r="A417" s="21"/>
      <c r="B417" s="19"/>
      <c r="C417" s="20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</row>
    <row r="418" spans="1:15" ht="15.75" customHeight="1" x14ac:dyDescent="0.35">
      <c r="A418" s="21"/>
      <c r="B418" s="19"/>
      <c r="C418" s="20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</row>
    <row r="419" spans="1:15" ht="15.75" customHeight="1" x14ac:dyDescent="0.35">
      <c r="A419" s="21"/>
      <c r="B419" s="19"/>
      <c r="C419" s="20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</row>
    <row r="420" spans="1:15" ht="15.75" customHeight="1" x14ac:dyDescent="0.35">
      <c r="A420" s="21"/>
      <c r="B420" s="19"/>
      <c r="C420" s="20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</row>
    <row r="421" spans="1:15" ht="15.75" customHeight="1" x14ac:dyDescent="0.35">
      <c r="A421" s="21"/>
      <c r="B421" s="19"/>
      <c r="C421" s="20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</row>
    <row r="422" spans="1:15" ht="15.75" customHeight="1" x14ac:dyDescent="0.35">
      <c r="A422" s="21"/>
      <c r="B422" s="19"/>
      <c r="C422" s="20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</row>
    <row r="423" spans="1:15" ht="15.75" customHeight="1" x14ac:dyDescent="0.35">
      <c r="A423" s="21"/>
      <c r="B423" s="19"/>
      <c r="C423" s="20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</row>
    <row r="424" spans="1:15" ht="15.75" customHeight="1" x14ac:dyDescent="0.35">
      <c r="A424" s="21"/>
      <c r="B424" s="19"/>
      <c r="C424" s="20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</row>
    <row r="425" spans="1:15" ht="15.75" customHeight="1" x14ac:dyDescent="0.35">
      <c r="A425" s="21"/>
      <c r="B425" s="19"/>
      <c r="C425" s="20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</row>
    <row r="426" spans="1:15" ht="15.75" customHeight="1" x14ac:dyDescent="0.35">
      <c r="A426" s="21"/>
      <c r="B426" s="19"/>
      <c r="C426" s="20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</row>
    <row r="427" spans="1:15" ht="15.75" customHeight="1" x14ac:dyDescent="0.35">
      <c r="A427" s="21"/>
      <c r="B427" s="19"/>
      <c r="C427" s="20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</row>
    <row r="428" spans="1:15" ht="15.75" customHeight="1" x14ac:dyDescent="0.35">
      <c r="A428" s="21"/>
      <c r="B428" s="19"/>
      <c r="C428" s="20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</row>
    <row r="429" spans="1:15" ht="15.75" customHeight="1" x14ac:dyDescent="0.35">
      <c r="A429" s="21"/>
      <c r="B429" s="19"/>
      <c r="C429" s="20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</row>
    <row r="430" spans="1:15" ht="15.75" customHeight="1" x14ac:dyDescent="0.35">
      <c r="A430" s="21"/>
      <c r="B430" s="19"/>
      <c r="C430" s="20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</row>
    <row r="431" spans="1:15" ht="15.75" customHeight="1" x14ac:dyDescent="0.35">
      <c r="A431" s="21"/>
      <c r="B431" s="19"/>
      <c r="C431" s="20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</row>
    <row r="432" spans="1:15" ht="15.75" customHeight="1" x14ac:dyDescent="0.35">
      <c r="A432" s="21"/>
      <c r="B432" s="19"/>
      <c r="C432" s="20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</row>
    <row r="433" spans="1:15" ht="15.75" customHeight="1" x14ac:dyDescent="0.35">
      <c r="A433" s="21"/>
      <c r="B433" s="19"/>
      <c r="C433" s="20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</row>
    <row r="434" spans="1:15" ht="15.75" customHeight="1" x14ac:dyDescent="0.35">
      <c r="A434" s="21"/>
      <c r="B434" s="19"/>
      <c r="C434" s="20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</row>
    <row r="435" spans="1:15" ht="15.75" customHeight="1" x14ac:dyDescent="0.35">
      <c r="A435" s="21"/>
      <c r="B435" s="19"/>
      <c r="C435" s="20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</row>
    <row r="436" spans="1:15" ht="15.75" customHeight="1" x14ac:dyDescent="0.35">
      <c r="A436" s="21"/>
      <c r="B436" s="19"/>
      <c r="C436" s="20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</row>
    <row r="437" spans="1:15" ht="15.75" customHeight="1" x14ac:dyDescent="0.35">
      <c r="A437" s="21"/>
      <c r="B437" s="19"/>
      <c r="C437" s="20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</row>
    <row r="438" spans="1:15" ht="15.75" customHeight="1" x14ac:dyDescent="0.35">
      <c r="A438" s="21"/>
      <c r="B438" s="19"/>
      <c r="C438" s="20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</row>
    <row r="439" spans="1:15" ht="15.75" customHeight="1" x14ac:dyDescent="0.35">
      <c r="A439" s="21"/>
      <c r="B439" s="19"/>
      <c r="C439" s="20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</row>
    <row r="440" spans="1:15" ht="15.75" customHeight="1" x14ac:dyDescent="0.35">
      <c r="A440" s="21"/>
      <c r="B440" s="19"/>
      <c r="C440" s="20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</row>
    <row r="441" spans="1:15" ht="15.75" customHeight="1" x14ac:dyDescent="0.35">
      <c r="A441" s="21"/>
      <c r="B441" s="19"/>
      <c r="C441" s="20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</row>
    <row r="442" spans="1:15" ht="15.75" customHeight="1" x14ac:dyDescent="0.35">
      <c r="A442" s="21"/>
      <c r="B442" s="19"/>
      <c r="C442" s="20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</row>
    <row r="443" spans="1:15" ht="15.75" customHeight="1" x14ac:dyDescent="0.35">
      <c r="A443" s="21"/>
      <c r="B443" s="19"/>
      <c r="C443" s="20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</row>
    <row r="444" spans="1:15" ht="15.75" customHeight="1" x14ac:dyDescent="0.35">
      <c r="A444" s="21"/>
      <c r="B444" s="19"/>
      <c r="C444" s="20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</row>
    <row r="445" spans="1:15" ht="15.75" customHeight="1" x14ac:dyDescent="0.35">
      <c r="A445" s="21"/>
      <c r="B445" s="19"/>
      <c r="C445" s="20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</row>
    <row r="446" spans="1:15" ht="15.75" customHeight="1" x14ac:dyDescent="0.35">
      <c r="A446" s="21"/>
      <c r="B446" s="19"/>
      <c r="C446" s="20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</row>
    <row r="447" spans="1:15" ht="15.75" customHeight="1" x14ac:dyDescent="0.35">
      <c r="A447" s="21"/>
      <c r="B447" s="19"/>
      <c r="C447" s="20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</row>
    <row r="448" spans="1:15" ht="15.75" customHeight="1" x14ac:dyDescent="0.35">
      <c r="A448" s="21"/>
      <c r="B448" s="19"/>
      <c r="C448" s="20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</row>
    <row r="449" spans="1:15" ht="15.75" customHeight="1" x14ac:dyDescent="0.35">
      <c r="A449" s="21"/>
      <c r="B449" s="19"/>
      <c r="C449" s="20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</row>
    <row r="450" spans="1:15" ht="15.75" customHeight="1" x14ac:dyDescent="0.35">
      <c r="A450" s="21"/>
      <c r="B450" s="19"/>
      <c r="C450" s="20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</row>
    <row r="451" spans="1:15" ht="15.75" customHeight="1" x14ac:dyDescent="0.35">
      <c r="A451" s="21"/>
      <c r="B451" s="19"/>
      <c r="C451" s="20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</row>
    <row r="452" spans="1:15" ht="15.75" customHeight="1" x14ac:dyDescent="0.35">
      <c r="A452" s="21"/>
      <c r="B452" s="19"/>
      <c r="C452" s="20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</row>
    <row r="453" spans="1:15" ht="15.75" customHeight="1" x14ac:dyDescent="0.35">
      <c r="A453" s="21"/>
      <c r="B453" s="19"/>
      <c r="C453" s="20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</row>
    <row r="454" spans="1:15" ht="15.75" customHeight="1" x14ac:dyDescent="0.35">
      <c r="A454" s="21"/>
      <c r="B454" s="19"/>
      <c r="C454" s="20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</row>
    <row r="455" spans="1:15" ht="15.75" customHeight="1" x14ac:dyDescent="0.35">
      <c r="A455" s="21"/>
      <c r="B455" s="19"/>
      <c r="C455" s="20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</row>
    <row r="456" spans="1:15" ht="15.75" customHeight="1" x14ac:dyDescent="0.35">
      <c r="A456" s="21"/>
      <c r="B456" s="19"/>
      <c r="C456" s="20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</row>
    <row r="457" spans="1:15" ht="15.75" customHeight="1" x14ac:dyDescent="0.35">
      <c r="A457" s="21"/>
      <c r="B457" s="19"/>
      <c r="C457" s="20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</row>
    <row r="458" spans="1:15" ht="15.75" customHeight="1" x14ac:dyDescent="0.35">
      <c r="A458" s="21"/>
      <c r="B458" s="19"/>
      <c r="C458" s="20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</row>
    <row r="459" spans="1:15" ht="15.75" customHeight="1" x14ac:dyDescent="0.35">
      <c r="A459" s="21"/>
      <c r="B459" s="19"/>
      <c r="C459" s="20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</row>
    <row r="460" spans="1:15" ht="15.75" customHeight="1" x14ac:dyDescent="0.35">
      <c r="A460" s="21"/>
      <c r="B460" s="19"/>
      <c r="C460" s="20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</row>
    <row r="461" spans="1:15" ht="15.75" customHeight="1" x14ac:dyDescent="0.35">
      <c r="A461" s="21"/>
      <c r="B461" s="19"/>
      <c r="C461" s="20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</row>
    <row r="462" spans="1:15" ht="15.75" customHeight="1" x14ac:dyDescent="0.35">
      <c r="A462" s="21"/>
      <c r="B462" s="19"/>
      <c r="C462" s="20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</row>
    <row r="463" spans="1:15" ht="15.75" customHeight="1" x14ac:dyDescent="0.35">
      <c r="A463" s="21"/>
      <c r="B463" s="19"/>
      <c r="C463" s="20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</row>
    <row r="464" spans="1:15" ht="15.75" customHeight="1" x14ac:dyDescent="0.35">
      <c r="A464" s="21"/>
      <c r="B464" s="19"/>
      <c r="C464" s="20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</row>
    <row r="465" spans="1:15" ht="15.75" customHeight="1" x14ac:dyDescent="0.35">
      <c r="A465" s="21"/>
      <c r="B465" s="19"/>
      <c r="C465" s="20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</row>
    <row r="466" spans="1:15" ht="15.75" customHeight="1" x14ac:dyDescent="0.35">
      <c r="A466" s="21"/>
      <c r="B466" s="19"/>
      <c r="C466" s="20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</row>
    <row r="467" spans="1:15" ht="15.75" customHeight="1" x14ac:dyDescent="0.35">
      <c r="A467" s="21"/>
      <c r="B467" s="19"/>
      <c r="C467" s="20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</row>
    <row r="468" spans="1:15" ht="15.75" customHeight="1" x14ac:dyDescent="0.35">
      <c r="A468" s="21"/>
      <c r="B468" s="19"/>
      <c r="C468" s="20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</row>
    <row r="469" spans="1:15" ht="15.75" customHeight="1" x14ac:dyDescent="0.35">
      <c r="A469" s="21"/>
      <c r="B469" s="19"/>
      <c r="C469" s="20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</row>
    <row r="470" spans="1:15" ht="15.75" customHeight="1" x14ac:dyDescent="0.35">
      <c r="A470" s="21"/>
      <c r="B470" s="19"/>
      <c r="C470" s="20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</row>
    <row r="471" spans="1:15" ht="15.75" customHeight="1" x14ac:dyDescent="0.35">
      <c r="A471" s="21"/>
      <c r="B471" s="19"/>
      <c r="C471" s="20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</row>
    <row r="472" spans="1:15" ht="15.75" customHeight="1" x14ac:dyDescent="0.35">
      <c r="A472" s="21"/>
      <c r="B472" s="19"/>
      <c r="C472" s="20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</row>
    <row r="473" spans="1:15" ht="15.75" customHeight="1" x14ac:dyDescent="0.35">
      <c r="A473" s="21"/>
      <c r="B473" s="19"/>
      <c r="C473" s="20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</row>
    <row r="474" spans="1:15" ht="15.75" customHeight="1" x14ac:dyDescent="0.35">
      <c r="A474" s="21"/>
      <c r="B474" s="19"/>
      <c r="C474" s="20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</row>
    <row r="475" spans="1:15" ht="15.75" customHeight="1" x14ac:dyDescent="0.35">
      <c r="A475" s="21"/>
      <c r="B475" s="19"/>
      <c r="C475" s="20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</row>
    <row r="476" spans="1:15" ht="15.75" customHeight="1" x14ac:dyDescent="0.35">
      <c r="A476" s="21"/>
      <c r="B476" s="19"/>
      <c r="C476" s="20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</row>
    <row r="477" spans="1:15" ht="15.75" customHeight="1" x14ac:dyDescent="0.35">
      <c r="A477" s="21"/>
      <c r="B477" s="19"/>
      <c r="C477" s="20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</row>
    <row r="478" spans="1:15" ht="15.75" customHeight="1" x14ac:dyDescent="0.35">
      <c r="A478" s="21"/>
      <c r="B478" s="19"/>
      <c r="C478" s="20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</row>
    <row r="479" spans="1:15" ht="15.75" customHeight="1" x14ac:dyDescent="0.35">
      <c r="A479" s="21"/>
      <c r="B479" s="19"/>
      <c r="C479" s="20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</row>
    <row r="480" spans="1:15" ht="15.75" customHeight="1" x14ac:dyDescent="0.35">
      <c r="A480" s="21"/>
      <c r="B480" s="19"/>
      <c r="C480" s="20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</row>
    <row r="481" spans="1:15" ht="15.75" customHeight="1" x14ac:dyDescent="0.35">
      <c r="A481" s="21"/>
      <c r="B481" s="19"/>
      <c r="C481" s="20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</row>
    <row r="482" spans="1:15" ht="15.75" customHeight="1" x14ac:dyDescent="0.35">
      <c r="A482" s="21"/>
      <c r="B482" s="19"/>
      <c r="C482" s="20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</row>
    <row r="483" spans="1:15" ht="15.75" customHeight="1" x14ac:dyDescent="0.35">
      <c r="A483" s="21"/>
      <c r="B483" s="19"/>
      <c r="C483" s="20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</row>
    <row r="484" spans="1:15" ht="15.75" customHeight="1" x14ac:dyDescent="0.35">
      <c r="A484" s="21"/>
      <c r="B484" s="19"/>
      <c r="C484" s="20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</row>
    <row r="485" spans="1:15" ht="15.75" customHeight="1" x14ac:dyDescent="0.35">
      <c r="A485" s="21"/>
      <c r="B485" s="19"/>
      <c r="C485" s="20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</row>
    <row r="486" spans="1:15" ht="15.75" customHeight="1" x14ac:dyDescent="0.35">
      <c r="A486" s="21"/>
      <c r="B486" s="19"/>
      <c r="C486" s="20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</row>
    <row r="487" spans="1:15" ht="15.75" customHeight="1" x14ac:dyDescent="0.35">
      <c r="A487" s="21"/>
      <c r="B487" s="19"/>
      <c r="C487" s="20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</row>
    <row r="488" spans="1:15" ht="15.75" customHeight="1" x14ac:dyDescent="0.35">
      <c r="A488" s="21"/>
      <c r="B488" s="19"/>
      <c r="C488" s="20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</row>
    <row r="489" spans="1:15" ht="15.75" customHeight="1" x14ac:dyDescent="0.35">
      <c r="A489" s="21"/>
      <c r="B489" s="19"/>
      <c r="C489" s="20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</row>
    <row r="490" spans="1:15" ht="15.75" customHeight="1" x14ac:dyDescent="0.35">
      <c r="A490" s="21"/>
      <c r="B490" s="19"/>
      <c r="C490" s="20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</row>
    <row r="491" spans="1:15" ht="15.75" customHeight="1" x14ac:dyDescent="0.35">
      <c r="A491" s="21"/>
      <c r="B491" s="19"/>
      <c r="C491" s="20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</row>
    <row r="492" spans="1:15" ht="15.75" customHeight="1" x14ac:dyDescent="0.35">
      <c r="A492" s="21"/>
      <c r="B492" s="19"/>
      <c r="C492" s="20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</row>
    <row r="493" spans="1:15" ht="15.75" customHeight="1" x14ac:dyDescent="0.35">
      <c r="A493" s="21"/>
      <c r="B493" s="19"/>
      <c r="C493" s="20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</row>
    <row r="494" spans="1:15" ht="15.75" customHeight="1" x14ac:dyDescent="0.35">
      <c r="A494" s="21"/>
      <c r="B494" s="19"/>
      <c r="C494" s="20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</row>
    <row r="495" spans="1:15" ht="15.75" customHeight="1" x14ac:dyDescent="0.35">
      <c r="A495" s="21"/>
      <c r="B495" s="19"/>
      <c r="C495" s="20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</row>
    <row r="496" spans="1:15" ht="15.75" customHeight="1" x14ac:dyDescent="0.35">
      <c r="A496" s="21"/>
      <c r="B496" s="19"/>
      <c r="C496" s="20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</row>
    <row r="497" spans="1:15" ht="15.75" customHeight="1" x14ac:dyDescent="0.35">
      <c r="A497" s="21"/>
      <c r="B497" s="19"/>
      <c r="C497" s="20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</row>
    <row r="498" spans="1:15" ht="15.75" customHeight="1" x14ac:dyDescent="0.35">
      <c r="A498" s="21"/>
      <c r="B498" s="19"/>
      <c r="C498" s="20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</row>
    <row r="499" spans="1:15" ht="15.75" customHeight="1" x14ac:dyDescent="0.35">
      <c r="A499" s="21"/>
      <c r="B499" s="19"/>
      <c r="C499" s="20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</row>
    <row r="500" spans="1:15" ht="15.75" customHeight="1" x14ac:dyDescent="0.35">
      <c r="A500" s="21"/>
      <c r="B500" s="19"/>
      <c r="C500" s="20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</row>
    <row r="501" spans="1:15" ht="15.75" customHeight="1" x14ac:dyDescent="0.35">
      <c r="A501" s="21"/>
      <c r="B501" s="19"/>
      <c r="C501" s="20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</row>
    <row r="502" spans="1:15" ht="15.75" customHeight="1" x14ac:dyDescent="0.35">
      <c r="A502" s="21"/>
      <c r="B502" s="19"/>
      <c r="C502" s="20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</row>
    <row r="503" spans="1:15" ht="15.75" customHeight="1" x14ac:dyDescent="0.35">
      <c r="A503" s="21"/>
      <c r="B503" s="19"/>
      <c r="C503" s="20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</row>
    <row r="504" spans="1:15" ht="15.75" customHeight="1" x14ac:dyDescent="0.35">
      <c r="A504" s="21"/>
      <c r="B504" s="19"/>
      <c r="C504" s="20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</row>
    <row r="505" spans="1:15" ht="15.75" customHeight="1" x14ac:dyDescent="0.35">
      <c r="A505" s="21"/>
      <c r="B505" s="19"/>
      <c r="C505" s="20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</row>
    <row r="506" spans="1:15" ht="15.75" customHeight="1" x14ac:dyDescent="0.35">
      <c r="A506" s="21"/>
      <c r="B506" s="19"/>
      <c r="C506" s="20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</row>
    <row r="507" spans="1:15" ht="15.75" customHeight="1" x14ac:dyDescent="0.35">
      <c r="A507" s="21"/>
      <c r="B507" s="19"/>
      <c r="C507" s="20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</row>
    <row r="508" spans="1:15" ht="15.75" customHeight="1" x14ac:dyDescent="0.35">
      <c r="A508" s="21"/>
      <c r="B508" s="19"/>
      <c r="C508" s="20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</row>
    <row r="509" spans="1:15" ht="15.75" customHeight="1" x14ac:dyDescent="0.35">
      <c r="A509" s="21"/>
      <c r="B509" s="19"/>
      <c r="C509" s="20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</row>
    <row r="510" spans="1:15" ht="15.75" customHeight="1" x14ac:dyDescent="0.35">
      <c r="A510" s="21"/>
      <c r="B510" s="19"/>
      <c r="C510" s="20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</row>
    <row r="511" spans="1:15" ht="15.75" customHeight="1" x14ac:dyDescent="0.35">
      <c r="A511" s="21"/>
      <c r="B511" s="19"/>
      <c r="C511" s="20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</row>
    <row r="512" spans="1:15" ht="15.75" customHeight="1" x14ac:dyDescent="0.35">
      <c r="A512" s="21"/>
      <c r="B512" s="19"/>
      <c r="C512" s="20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</row>
    <row r="513" spans="1:15" ht="15.75" customHeight="1" x14ac:dyDescent="0.35">
      <c r="A513" s="21"/>
      <c r="B513" s="19"/>
      <c r="C513" s="20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</row>
    <row r="514" spans="1:15" ht="15.75" customHeight="1" x14ac:dyDescent="0.35">
      <c r="A514" s="21"/>
      <c r="B514" s="19"/>
      <c r="C514" s="20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</row>
    <row r="515" spans="1:15" ht="15.75" customHeight="1" x14ac:dyDescent="0.35">
      <c r="A515" s="21"/>
      <c r="B515" s="19"/>
      <c r="C515" s="20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</row>
    <row r="516" spans="1:15" ht="15.75" customHeight="1" x14ac:dyDescent="0.35">
      <c r="A516" s="21"/>
      <c r="B516" s="19"/>
      <c r="C516" s="20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</row>
    <row r="517" spans="1:15" ht="15.75" customHeight="1" x14ac:dyDescent="0.35">
      <c r="A517" s="21"/>
      <c r="B517" s="19"/>
      <c r="C517" s="20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</row>
    <row r="518" spans="1:15" ht="15.75" customHeight="1" x14ac:dyDescent="0.35">
      <c r="A518" s="21"/>
      <c r="B518" s="19"/>
      <c r="C518" s="20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</row>
    <row r="519" spans="1:15" ht="15.75" customHeight="1" x14ac:dyDescent="0.35">
      <c r="A519" s="21"/>
      <c r="B519" s="19"/>
      <c r="C519" s="20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</row>
    <row r="520" spans="1:15" ht="15.75" customHeight="1" x14ac:dyDescent="0.35">
      <c r="A520" s="21"/>
      <c r="B520" s="19"/>
      <c r="C520" s="20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</row>
    <row r="521" spans="1:15" ht="15.75" customHeight="1" x14ac:dyDescent="0.35">
      <c r="A521" s="21"/>
      <c r="B521" s="19"/>
      <c r="C521" s="20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</row>
    <row r="522" spans="1:15" ht="15.75" customHeight="1" x14ac:dyDescent="0.35">
      <c r="A522" s="21"/>
      <c r="B522" s="19"/>
      <c r="C522" s="20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</row>
    <row r="523" spans="1:15" ht="15.75" customHeight="1" x14ac:dyDescent="0.35">
      <c r="A523" s="21"/>
      <c r="B523" s="19"/>
      <c r="C523" s="20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</row>
    <row r="524" spans="1:15" ht="15.75" customHeight="1" x14ac:dyDescent="0.35">
      <c r="A524" s="21"/>
      <c r="B524" s="19"/>
      <c r="C524" s="20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</row>
    <row r="525" spans="1:15" ht="15.75" customHeight="1" x14ac:dyDescent="0.35">
      <c r="A525" s="21"/>
      <c r="B525" s="19"/>
      <c r="C525" s="20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</row>
    <row r="526" spans="1:15" ht="15.75" customHeight="1" x14ac:dyDescent="0.35">
      <c r="A526" s="21"/>
      <c r="B526" s="19"/>
      <c r="C526" s="20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</row>
    <row r="527" spans="1:15" ht="15.75" customHeight="1" x14ac:dyDescent="0.35">
      <c r="A527" s="21"/>
      <c r="B527" s="19"/>
      <c r="C527" s="20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</row>
    <row r="528" spans="1:15" ht="15.75" customHeight="1" x14ac:dyDescent="0.35">
      <c r="A528" s="21"/>
      <c r="B528" s="19"/>
      <c r="C528" s="20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</row>
    <row r="529" spans="1:15" ht="15.75" customHeight="1" x14ac:dyDescent="0.35">
      <c r="A529" s="21"/>
      <c r="B529" s="19"/>
      <c r="C529" s="20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</row>
    <row r="530" spans="1:15" ht="15.75" customHeight="1" x14ac:dyDescent="0.35">
      <c r="A530" s="21"/>
      <c r="B530" s="19"/>
      <c r="C530" s="20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</row>
    <row r="531" spans="1:15" ht="15.75" customHeight="1" x14ac:dyDescent="0.35">
      <c r="A531" s="21"/>
      <c r="B531" s="19"/>
      <c r="C531" s="20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</row>
    <row r="532" spans="1:15" ht="15.75" customHeight="1" x14ac:dyDescent="0.35">
      <c r="A532" s="21"/>
      <c r="B532" s="19"/>
      <c r="C532" s="20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</row>
    <row r="533" spans="1:15" ht="15.75" customHeight="1" x14ac:dyDescent="0.35">
      <c r="A533" s="21"/>
      <c r="B533" s="19"/>
      <c r="C533" s="20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</row>
    <row r="534" spans="1:15" ht="15.75" customHeight="1" x14ac:dyDescent="0.35">
      <c r="A534" s="21"/>
      <c r="B534" s="19"/>
      <c r="C534" s="20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</row>
    <row r="535" spans="1:15" ht="15.75" customHeight="1" x14ac:dyDescent="0.35">
      <c r="A535" s="21"/>
      <c r="B535" s="19"/>
      <c r="C535" s="20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</row>
    <row r="536" spans="1:15" ht="15.75" customHeight="1" x14ac:dyDescent="0.35">
      <c r="A536" s="21"/>
      <c r="B536" s="19"/>
      <c r="C536" s="20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</row>
    <row r="537" spans="1:15" ht="15.75" customHeight="1" x14ac:dyDescent="0.35">
      <c r="A537" s="21"/>
      <c r="B537" s="19"/>
      <c r="C537" s="20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</row>
    <row r="538" spans="1:15" ht="15.75" customHeight="1" x14ac:dyDescent="0.35">
      <c r="A538" s="21"/>
      <c r="B538" s="19"/>
      <c r="C538" s="20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</row>
    <row r="539" spans="1:15" ht="15.75" customHeight="1" x14ac:dyDescent="0.35">
      <c r="A539" s="21"/>
      <c r="B539" s="19"/>
      <c r="C539" s="20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</row>
    <row r="540" spans="1:15" ht="15.75" customHeight="1" x14ac:dyDescent="0.35">
      <c r="A540" s="21"/>
      <c r="B540" s="19"/>
      <c r="C540" s="20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</row>
    <row r="541" spans="1:15" ht="15.75" customHeight="1" x14ac:dyDescent="0.35">
      <c r="A541" s="21"/>
      <c r="B541" s="19"/>
      <c r="C541" s="20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</row>
    <row r="542" spans="1:15" ht="15.75" customHeight="1" x14ac:dyDescent="0.35">
      <c r="A542" s="21"/>
      <c r="B542" s="19"/>
      <c r="C542" s="20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</row>
    <row r="543" spans="1:15" ht="15.75" customHeight="1" x14ac:dyDescent="0.35">
      <c r="A543" s="21"/>
      <c r="B543" s="19"/>
      <c r="C543" s="20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</row>
    <row r="544" spans="1:15" ht="15.75" customHeight="1" x14ac:dyDescent="0.35">
      <c r="A544" s="21"/>
      <c r="B544" s="19"/>
      <c r="C544" s="20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</row>
    <row r="545" spans="1:15" ht="15.75" customHeight="1" x14ac:dyDescent="0.35">
      <c r="A545" s="21"/>
      <c r="B545" s="19"/>
      <c r="C545" s="20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</row>
    <row r="546" spans="1:15" ht="15.75" customHeight="1" x14ac:dyDescent="0.35">
      <c r="A546" s="21"/>
      <c r="B546" s="19"/>
      <c r="C546" s="20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</row>
    <row r="547" spans="1:15" ht="15.75" customHeight="1" x14ac:dyDescent="0.35">
      <c r="A547" s="21"/>
      <c r="B547" s="19"/>
      <c r="C547" s="20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</row>
    <row r="548" spans="1:15" ht="15.75" customHeight="1" x14ac:dyDescent="0.35">
      <c r="A548" s="21"/>
      <c r="B548" s="19"/>
      <c r="C548" s="20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</row>
    <row r="549" spans="1:15" ht="15.75" customHeight="1" x14ac:dyDescent="0.35">
      <c r="A549" s="21"/>
      <c r="B549" s="19"/>
      <c r="C549" s="20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</row>
    <row r="550" spans="1:15" ht="15.75" customHeight="1" x14ac:dyDescent="0.35">
      <c r="A550" s="21"/>
      <c r="B550" s="19"/>
      <c r="C550" s="20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</row>
    <row r="551" spans="1:15" ht="15.75" customHeight="1" x14ac:dyDescent="0.35">
      <c r="A551" s="21"/>
      <c r="B551" s="19"/>
      <c r="C551" s="20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</row>
    <row r="552" spans="1:15" ht="15.75" customHeight="1" x14ac:dyDescent="0.35">
      <c r="A552" s="21"/>
      <c r="B552" s="19"/>
      <c r="C552" s="20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</row>
    <row r="553" spans="1:15" ht="15.75" customHeight="1" x14ac:dyDescent="0.35">
      <c r="A553" s="21"/>
      <c r="B553" s="19"/>
      <c r="C553" s="20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</row>
    <row r="554" spans="1:15" ht="15.75" customHeight="1" x14ac:dyDescent="0.35">
      <c r="A554" s="21"/>
      <c r="B554" s="19"/>
      <c r="C554" s="20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</row>
    <row r="555" spans="1:15" ht="15.75" customHeight="1" x14ac:dyDescent="0.35">
      <c r="A555" s="21"/>
      <c r="B555" s="19"/>
      <c r="C555" s="20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</row>
    <row r="556" spans="1:15" ht="15.75" customHeight="1" x14ac:dyDescent="0.35">
      <c r="A556" s="21"/>
      <c r="B556" s="19"/>
      <c r="C556" s="20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</row>
    <row r="557" spans="1:15" ht="15.75" customHeight="1" x14ac:dyDescent="0.35">
      <c r="A557" s="21"/>
      <c r="B557" s="19"/>
      <c r="C557" s="20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</row>
    <row r="558" spans="1:15" ht="15.75" customHeight="1" x14ac:dyDescent="0.35">
      <c r="A558" s="21"/>
      <c r="B558" s="19"/>
      <c r="C558" s="20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</row>
    <row r="559" spans="1:15" ht="15.75" customHeight="1" x14ac:dyDescent="0.35">
      <c r="A559" s="21"/>
      <c r="B559" s="19"/>
      <c r="C559" s="20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</row>
    <row r="560" spans="1:15" ht="15.75" customHeight="1" x14ac:dyDescent="0.35">
      <c r="A560" s="21"/>
      <c r="B560" s="19"/>
      <c r="C560" s="20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</row>
    <row r="561" spans="1:15" ht="15.75" customHeight="1" x14ac:dyDescent="0.35">
      <c r="A561" s="21"/>
      <c r="B561" s="19"/>
      <c r="C561" s="20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</row>
    <row r="562" spans="1:15" ht="15.75" customHeight="1" x14ac:dyDescent="0.35">
      <c r="A562" s="21"/>
      <c r="B562" s="19"/>
      <c r="C562" s="20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</row>
    <row r="563" spans="1:15" ht="15.75" customHeight="1" x14ac:dyDescent="0.35">
      <c r="A563" s="21"/>
      <c r="B563" s="19"/>
      <c r="C563" s="20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</row>
    <row r="564" spans="1:15" ht="15.75" customHeight="1" x14ac:dyDescent="0.35">
      <c r="A564" s="21"/>
      <c r="B564" s="19"/>
      <c r="C564" s="20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</row>
    <row r="565" spans="1:15" ht="15.75" customHeight="1" x14ac:dyDescent="0.35">
      <c r="A565" s="21"/>
      <c r="B565" s="19"/>
      <c r="C565" s="20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</row>
    <row r="566" spans="1:15" ht="15.75" customHeight="1" x14ac:dyDescent="0.35">
      <c r="A566" s="21"/>
      <c r="B566" s="19"/>
      <c r="C566" s="20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</row>
    <row r="567" spans="1:15" ht="15.75" customHeight="1" x14ac:dyDescent="0.35">
      <c r="A567" s="21"/>
      <c r="B567" s="19"/>
      <c r="C567" s="20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</row>
    <row r="568" spans="1:15" ht="15.75" customHeight="1" x14ac:dyDescent="0.35">
      <c r="A568" s="21"/>
      <c r="B568" s="19"/>
      <c r="C568" s="20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</row>
    <row r="569" spans="1:15" ht="15.75" customHeight="1" x14ac:dyDescent="0.35">
      <c r="A569" s="21"/>
      <c r="B569" s="19"/>
      <c r="C569" s="20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</row>
    <row r="570" spans="1:15" ht="15.75" customHeight="1" x14ac:dyDescent="0.35">
      <c r="A570" s="21"/>
      <c r="B570" s="19"/>
      <c r="C570" s="20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</row>
    <row r="571" spans="1:15" ht="15.75" customHeight="1" x14ac:dyDescent="0.35">
      <c r="A571" s="21"/>
      <c r="B571" s="19"/>
      <c r="C571" s="20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</row>
    <row r="572" spans="1:15" ht="15.75" customHeight="1" x14ac:dyDescent="0.35">
      <c r="A572" s="21"/>
      <c r="B572" s="19"/>
      <c r="C572" s="20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</row>
    <row r="573" spans="1:15" ht="15.75" customHeight="1" x14ac:dyDescent="0.35">
      <c r="A573" s="21"/>
      <c r="B573" s="19"/>
      <c r="C573" s="20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</row>
    <row r="574" spans="1:15" ht="15.75" customHeight="1" x14ac:dyDescent="0.35">
      <c r="A574" s="21"/>
      <c r="B574" s="19"/>
      <c r="C574" s="20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</row>
    <row r="575" spans="1:15" ht="15.75" customHeight="1" x14ac:dyDescent="0.35">
      <c r="A575" s="21"/>
      <c r="B575" s="19"/>
      <c r="C575" s="20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</row>
    <row r="576" spans="1:15" ht="15.75" customHeight="1" x14ac:dyDescent="0.35">
      <c r="A576" s="21"/>
      <c r="B576" s="19"/>
      <c r="C576" s="20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</row>
    <row r="577" spans="1:15" ht="15.75" customHeight="1" x14ac:dyDescent="0.35">
      <c r="A577" s="21"/>
      <c r="B577" s="19"/>
      <c r="C577" s="20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</row>
    <row r="578" spans="1:15" ht="15.75" customHeight="1" x14ac:dyDescent="0.35">
      <c r="A578" s="21"/>
      <c r="B578" s="19"/>
      <c r="C578" s="20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</row>
    <row r="579" spans="1:15" ht="15.75" customHeight="1" x14ac:dyDescent="0.35">
      <c r="A579" s="21"/>
      <c r="B579" s="19"/>
      <c r="C579" s="20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</row>
    <row r="580" spans="1:15" ht="15.75" customHeight="1" x14ac:dyDescent="0.35">
      <c r="A580" s="21"/>
      <c r="B580" s="19"/>
      <c r="C580" s="20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</row>
    <row r="581" spans="1:15" ht="15.75" customHeight="1" x14ac:dyDescent="0.35">
      <c r="A581" s="21"/>
      <c r="B581" s="19"/>
      <c r="C581" s="20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</row>
    <row r="582" spans="1:15" ht="15.75" customHeight="1" x14ac:dyDescent="0.35">
      <c r="A582" s="21"/>
      <c r="B582" s="19"/>
      <c r="C582" s="20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</row>
    <row r="583" spans="1:15" ht="15.75" customHeight="1" x14ac:dyDescent="0.35">
      <c r="A583" s="21"/>
      <c r="B583" s="19"/>
      <c r="C583" s="20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</row>
    <row r="584" spans="1:15" ht="15.75" customHeight="1" x14ac:dyDescent="0.35">
      <c r="A584" s="21"/>
      <c r="B584" s="19"/>
      <c r="C584" s="20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</row>
    <row r="585" spans="1:15" ht="15.75" customHeight="1" x14ac:dyDescent="0.35">
      <c r="A585" s="21"/>
      <c r="B585" s="19"/>
      <c r="C585" s="20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</row>
    <row r="586" spans="1:15" ht="15.75" customHeight="1" x14ac:dyDescent="0.35">
      <c r="A586" s="21"/>
      <c r="B586" s="19"/>
      <c r="C586" s="20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</row>
    <row r="587" spans="1:15" ht="15.75" customHeight="1" x14ac:dyDescent="0.35">
      <c r="A587" s="21"/>
      <c r="B587" s="19"/>
      <c r="C587" s="20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</row>
    <row r="588" spans="1:15" ht="15.75" customHeight="1" x14ac:dyDescent="0.35">
      <c r="A588" s="21"/>
      <c r="B588" s="19"/>
      <c r="C588" s="20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</row>
    <row r="589" spans="1:15" ht="15.75" customHeight="1" x14ac:dyDescent="0.35">
      <c r="A589" s="21"/>
      <c r="B589" s="19"/>
      <c r="C589" s="20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</row>
    <row r="590" spans="1:15" ht="15.75" customHeight="1" x14ac:dyDescent="0.35">
      <c r="A590" s="21"/>
      <c r="B590" s="19"/>
      <c r="C590" s="20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</row>
    <row r="591" spans="1:15" ht="15.75" customHeight="1" x14ac:dyDescent="0.35">
      <c r="A591" s="21"/>
      <c r="B591" s="19"/>
      <c r="C591" s="20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</row>
    <row r="592" spans="1:15" ht="15.75" customHeight="1" x14ac:dyDescent="0.35">
      <c r="A592" s="21"/>
      <c r="B592" s="19"/>
      <c r="C592" s="20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</row>
    <row r="593" spans="1:15" ht="15.75" customHeight="1" x14ac:dyDescent="0.35">
      <c r="A593" s="21"/>
      <c r="B593" s="19"/>
      <c r="C593" s="20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</row>
    <row r="594" spans="1:15" ht="15.75" customHeight="1" x14ac:dyDescent="0.35">
      <c r="A594" s="21"/>
      <c r="B594" s="19"/>
      <c r="C594" s="20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</row>
    <row r="595" spans="1:15" ht="15.75" customHeight="1" x14ac:dyDescent="0.35">
      <c r="A595" s="21"/>
      <c r="B595" s="19"/>
      <c r="C595" s="20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</row>
    <row r="596" spans="1:15" ht="15.75" customHeight="1" x14ac:dyDescent="0.35">
      <c r="A596" s="21"/>
      <c r="B596" s="19"/>
      <c r="C596" s="20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</row>
    <row r="597" spans="1:15" ht="15.75" customHeight="1" x14ac:dyDescent="0.35">
      <c r="A597" s="21"/>
      <c r="B597" s="19"/>
      <c r="C597" s="20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</row>
    <row r="598" spans="1:15" ht="15.75" customHeight="1" x14ac:dyDescent="0.35">
      <c r="A598" s="21"/>
      <c r="B598" s="19"/>
      <c r="C598" s="20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</row>
    <row r="599" spans="1:15" ht="15.75" customHeight="1" x14ac:dyDescent="0.35">
      <c r="A599" s="21"/>
      <c r="B599" s="19"/>
      <c r="C599" s="20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</row>
    <row r="600" spans="1:15" ht="15.75" customHeight="1" x14ac:dyDescent="0.35">
      <c r="A600" s="21"/>
      <c r="B600" s="19"/>
      <c r="C600" s="20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</row>
    <row r="601" spans="1:15" ht="15.75" customHeight="1" x14ac:dyDescent="0.35">
      <c r="A601" s="21"/>
      <c r="B601" s="19"/>
      <c r="C601" s="20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</row>
    <row r="602" spans="1:15" ht="15.75" customHeight="1" x14ac:dyDescent="0.35">
      <c r="A602" s="21"/>
      <c r="B602" s="19"/>
      <c r="C602" s="20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</row>
    <row r="603" spans="1:15" ht="15.75" customHeight="1" x14ac:dyDescent="0.35">
      <c r="A603" s="21"/>
      <c r="B603" s="19"/>
      <c r="C603" s="20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</row>
    <row r="604" spans="1:15" ht="15.75" customHeight="1" x14ac:dyDescent="0.35">
      <c r="A604" s="21"/>
      <c r="B604" s="19"/>
      <c r="C604" s="20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</row>
    <row r="605" spans="1:15" ht="15.75" customHeight="1" x14ac:dyDescent="0.35">
      <c r="A605" s="21"/>
      <c r="B605" s="19"/>
      <c r="C605" s="20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</row>
    <row r="606" spans="1:15" ht="15.75" customHeight="1" x14ac:dyDescent="0.35">
      <c r="A606" s="21"/>
      <c r="B606" s="19"/>
      <c r="C606" s="20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</row>
    <row r="607" spans="1:15" ht="15.75" customHeight="1" x14ac:dyDescent="0.35">
      <c r="A607" s="21"/>
      <c r="B607" s="19"/>
      <c r="C607" s="20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</row>
    <row r="608" spans="1:15" ht="15.75" customHeight="1" x14ac:dyDescent="0.35">
      <c r="A608" s="21"/>
      <c r="B608" s="19"/>
      <c r="C608" s="20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</row>
    <row r="609" spans="1:15" ht="15.75" customHeight="1" x14ac:dyDescent="0.35">
      <c r="A609" s="21"/>
      <c r="B609" s="19"/>
      <c r="C609" s="20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</row>
    <row r="610" spans="1:15" ht="15.75" customHeight="1" x14ac:dyDescent="0.35">
      <c r="A610" s="21"/>
      <c r="B610" s="19"/>
      <c r="C610" s="20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</row>
    <row r="611" spans="1:15" ht="15.75" customHeight="1" x14ac:dyDescent="0.35">
      <c r="A611" s="21"/>
      <c r="B611" s="19"/>
      <c r="C611" s="20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</row>
    <row r="612" spans="1:15" ht="15.75" customHeight="1" x14ac:dyDescent="0.35">
      <c r="A612" s="21"/>
      <c r="B612" s="19"/>
      <c r="C612" s="20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</row>
    <row r="613" spans="1:15" ht="15.75" customHeight="1" x14ac:dyDescent="0.35">
      <c r="A613" s="21"/>
      <c r="B613" s="19"/>
      <c r="C613" s="20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</row>
    <row r="614" spans="1:15" ht="15.75" customHeight="1" x14ac:dyDescent="0.35">
      <c r="A614" s="21"/>
      <c r="B614" s="19"/>
      <c r="C614" s="20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</row>
    <row r="615" spans="1:15" ht="15.75" customHeight="1" x14ac:dyDescent="0.35">
      <c r="A615" s="21"/>
      <c r="B615" s="19"/>
      <c r="C615" s="20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</row>
    <row r="616" spans="1:15" ht="15.75" customHeight="1" x14ac:dyDescent="0.35">
      <c r="A616" s="21"/>
      <c r="B616" s="19"/>
      <c r="C616" s="20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</row>
    <row r="617" spans="1:15" ht="15.75" customHeight="1" x14ac:dyDescent="0.35">
      <c r="A617" s="21"/>
      <c r="B617" s="19"/>
      <c r="C617" s="20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</row>
    <row r="618" spans="1:15" ht="15.75" customHeight="1" x14ac:dyDescent="0.35">
      <c r="A618" s="21"/>
      <c r="B618" s="19"/>
      <c r="C618" s="20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</row>
    <row r="619" spans="1:15" ht="15.75" customHeight="1" x14ac:dyDescent="0.35">
      <c r="A619" s="21"/>
      <c r="B619" s="19"/>
      <c r="C619" s="20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</row>
    <row r="620" spans="1:15" ht="15.75" customHeight="1" x14ac:dyDescent="0.35">
      <c r="A620" s="21"/>
      <c r="B620" s="19"/>
      <c r="C620" s="20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</row>
    <row r="621" spans="1:15" ht="15.75" customHeight="1" x14ac:dyDescent="0.35">
      <c r="A621" s="21"/>
      <c r="B621" s="19"/>
      <c r="C621" s="20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</row>
    <row r="622" spans="1:15" ht="15.75" customHeight="1" x14ac:dyDescent="0.35">
      <c r="A622" s="21"/>
      <c r="B622" s="19"/>
      <c r="C622" s="20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</row>
    <row r="623" spans="1:15" ht="15.75" customHeight="1" x14ac:dyDescent="0.35">
      <c r="A623" s="21"/>
      <c r="B623" s="19"/>
      <c r="C623" s="20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</row>
    <row r="624" spans="1:15" ht="15.75" customHeight="1" x14ac:dyDescent="0.35">
      <c r="A624" s="21"/>
      <c r="B624" s="19"/>
      <c r="C624" s="20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</row>
    <row r="625" spans="1:15" ht="15.75" customHeight="1" x14ac:dyDescent="0.35">
      <c r="A625" s="21"/>
      <c r="B625" s="19"/>
      <c r="C625" s="20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</row>
    <row r="626" spans="1:15" ht="15.75" customHeight="1" x14ac:dyDescent="0.35">
      <c r="A626" s="21"/>
      <c r="B626" s="19"/>
      <c r="C626" s="20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</row>
    <row r="627" spans="1:15" ht="15.75" customHeight="1" x14ac:dyDescent="0.35">
      <c r="A627" s="21"/>
      <c r="B627" s="19"/>
      <c r="C627" s="20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</row>
    <row r="628" spans="1:15" ht="15.75" customHeight="1" x14ac:dyDescent="0.35">
      <c r="A628" s="21"/>
      <c r="B628" s="19"/>
      <c r="C628" s="20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</row>
    <row r="629" spans="1:15" ht="15.75" customHeight="1" x14ac:dyDescent="0.35">
      <c r="A629" s="21"/>
      <c r="B629" s="19"/>
      <c r="C629" s="20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</row>
    <row r="630" spans="1:15" ht="15.75" customHeight="1" x14ac:dyDescent="0.35">
      <c r="A630" s="21"/>
      <c r="B630" s="19"/>
      <c r="C630" s="20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</row>
    <row r="631" spans="1:15" ht="15.75" customHeight="1" x14ac:dyDescent="0.35">
      <c r="A631" s="21"/>
      <c r="B631" s="19"/>
      <c r="C631" s="20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</row>
    <row r="632" spans="1:15" ht="15.75" customHeight="1" x14ac:dyDescent="0.35">
      <c r="A632" s="21"/>
      <c r="B632" s="19"/>
      <c r="C632" s="20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</row>
    <row r="633" spans="1:15" ht="15.75" customHeight="1" x14ac:dyDescent="0.35">
      <c r="A633" s="21"/>
      <c r="B633" s="19"/>
      <c r="C633" s="20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</row>
    <row r="634" spans="1:15" ht="15.75" customHeight="1" x14ac:dyDescent="0.35">
      <c r="A634" s="21"/>
      <c r="B634" s="19"/>
      <c r="C634" s="20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</row>
    <row r="635" spans="1:15" ht="15.75" customHeight="1" x14ac:dyDescent="0.35">
      <c r="A635" s="21"/>
      <c r="B635" s="19"/>
      <c r="C635" s="20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</row>
    <row r="636" spans="1:15" ht="15.75" customHeight="1" x14ac:dyDescent="0.35">
      <c r="A636" s="21"/>
      <c r="B636" s="19"/>
      <c r="C636" s="20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</row>
    <row r="637" spans="1:15" ht="15.75" customHeight="1" x14ac:dyDescent="0.35">
      <c r="A637" s="21"/>
      <c r="B637" s="19"/>
      <c r="C637" s="20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</row>
    <row r="638" spans="1:15" ht="15.75" customHeight="1" x14ac:dyDescent="0.35">
      <c r="A638" s="21"/>
      <c r="B638" s="19"/>
      <c r="C638" s="20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</row>
    <row r="639" spans="1:15" ht="15.75" customHeight="1" x14ac:dyDescent="0.35">
      <c r="A639" s="21"/>
      <c r="B639" s="19"/>
      <c r="C639" s="20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</row>
    <row r="640" spans="1:15" ht="15.75" customHeight="1" x14ac:dyDescent="0.35">
      <c r="A640" s="21"/>
      <c r="B640" s="19"/>
      <c r="C640" s="20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</row>
    <row r="641" spans="1:15" ht="15.75" customHeight="1" x14ac:dyDescent="0.35">
      <c r="A641" s="21"/>
      <c r="B641" s="19"/>
      <c r="C641" s="20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</row>
    <row r="642" spans="1:15" ht="15.75" customHeight="1" x14ac:dyDescent="0.35">
      <c r="A642" s="21"/>
      <c r="B642" s="19"/>
      <c r="C642" s="20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</row>
    <row r="643" spans="1:15" ht="15.75" customHeight="1" x14ac:dyDescent="0.35">
      <c r="A643" s="21"/>
      <c r="B643" s="19"/>
      <c r="C643" s="20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</row>
    <row r="644" spans="1:15" ht="15.75" customHeight="1" x14ac:dyDescent="0.35">
      <c r="A644" s="21"/>
      <c r="B644" s="19"/>
      <c r="C644" s="20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</row>
    <row r="645" spans="1:15" ht="15.75" customHeight="1" x14ac:dyDescent="0.35">
      <c r="A645" s="21"/>
      <c r="B645" s="19"/>
      <c r="C645" s="20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</row>
    <row r="646" spans="1:15" ht="15.75" customHeight="1" x14ac:dyDescent="0.35">
      <c r="A646" s="21"/>
      <c r="B646" s="19"/>
      <c r="C646" s="20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</row>
    <row r="647" spans="1:15" ht="15.75" customHeight="1" x14ac:dyDescent="0.35">
      <c r="A647" s="21"/>
      <c r="B647" s="19"/>
      <c r="C647" s="20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</row>
    <row r="648" spans="1:15" ht="15.75" customHeight="1" x14ac:dyDescent="0.35">
      <c r="A648" s="21"/>
      <c r="B648" s="19"/>
      <c r="C648" s="20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</row>
    <row r="649" spans="1:15" ht="15.75" customHeight="1" x14ac:dyDescent="0.35">
      <c r="A649" s="21"/>
      <c r="B649" s="19"/>
      <c r="C649" s="20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</row>
    <row r="650" spans="1:15" ht="15.75" customHeight="1" x14ac:dyDescent="0.35">
      <c r="A650" s="21"/>
      <c r="B650" s="19"/>
      <c r="C650" s="20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</row>
    <row r="651" spans="1:15" ht="15.75" customHeight="1" x14ac:dyDescent="0.35">
      <c r="A651" s="21"/>
      <c r="B651" s="19"/>
      <c r="C651" s="20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</row>
    <row r="652" spans="1:15" ht="15.75" customHeight="1" x14ac:dyDescent="0.35">
      <c r="A652" s="21"/>
      <c r="B652" s="19"/>
      <c r="C652" s="20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</row>
    <row r="653" spans="1:15" ht="15.75" customHeight="1" x14ac:dyDescent="0.35">
      <c r="A653" s="21"/>
      <c r="B653" s="19"/>
      <c r="C653" s="20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</row>
    <row r="654" spans="1:15" ht="15.75" customHeight="1" x14ac:dyDescent="0.35">
      <c r="A654" s="21"/>
      <c r="B654" s="19"/>
      <c r="C654" s="20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</row>
    <row r="655" spans="1:15" ht="15.75" customHeight="1" x14ac:dyDescent="0.35">
      <c r="A655" s="21"/>
      <c r="B655" s="19"/>
      <c r="C655" s="20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</row>
    <row r="656" spans="1:15" ht="15.75" customHeight="1" x14ac:dyDescent="0.35">
      <c r="A656" s="21"/>
      <c r="B656" s="19"/>
      <c r="C656" s="20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</row>
    <row r="657" spans="1:15" ht="15.75" customHeight="1" x14ac:dyDescent="0.35">
      <c r="A657" s="21"/>
      <c r="B657" s="19"/>
      <c r="C657" s="20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</row>
    <row r="658" spans="1:15" ht="15.75" customHeight="1" x14ac:dyDescent="0.35">
      <c r="A658" s="21"/>
      <c r="B658" s="19"/>
      <c r="C658" s="20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</row>
    <row r="659" spans="1:15" ht="15.75" customHeight="1" x14ac:dyDescent="0.35">
      <c r="A659" s="21"/>
      <c r="B659" s="19"/>
      <c r="C659" s="20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</row>
    <row r="660" spans="1:15" ht="15.75" customHeight="1" x14ac:dyDescent="0.35">
      <c r="A660" s="21"/>
      <c r="B660" s="19"/>
      <c r="C660" s="20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</row>
    <row r="661" spans="1:15" ht="15.75" customHeight="1" x14ac:dyDescent="0.35">
      <c r="A661" s="21"/>
      <c r="B661" s="19"/>
      <c r="C661" s="20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</row>
    <row r="662" spans="1:15" ht="15.75" customHeight="1" x14ac:dyDescent="0.35">
      <c r="A662" s="21"/>
      <c r="B662" s="19"/>
      <c r="C662" s="20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</row>
    <row r="663" spans="1:15" ht="15.75" customHeight="1" x14ac:dyDescent="0.35">
      <c r="A663" s="21"/>
      <c r="B663" s="19"/>
      <c r="C663" s="20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</row>
    <row r="664" spans="1:15" ht="15.75" customHeight="1" x14ac:dyDescent="0.35">
      <c r="A664" s="21"/>
      <c r="B664" s="19"/>
      <c r="C664" s="20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</row>
    <row r="665" spans="1:15" ht="15.75" customHeight="1" x14ac:dyDescent="0.35">
      <c r="A665" s="21"/>
      <c r="B665" s="19"/>
      <c r="C665" s="20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</row>
    <row r="666" spans="1:15" ht="15.75" customHeight="1" x14ac:dyDescent="0.35">
      <c r="A666" s="21"/>
      <c r="B666" s="19"/>
      <c r="C666" s="20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</row>
    <row r="667" spans="1:15" ht="15.75" customHeight="1" x14ac:dyDescent="0.35">
      <c r="A667" s="21"/>
      <c r="B667" s="19"/>
      <c r="C667" s="20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</row>
    <row r="668" spans="1:15" ht="15.75" customHeight="1" x14ac:dyDescent="0.35">
      <c r="A668" s="21"/>
      <c r="B668" s="19"/>
      <c r="C668" s="20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</row>
    <row r="669" spans="1:15" ht="15.75" customHeight="1" x14ac:dyDescent="0.35">
      <c r="A669" s="21"/>
      <c r="B669" s="19"/>
      <c r="C669" s="20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</row>
    <row r="670" spans="1:15" ht="15.75" customHeight="1" x14ac:dyDescent="0.35">
      <c r="A670" s="21"/>
      <c r="B670" s="19"/>
      <c r="C670" s="20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</row>
    <row r="671" spans="1:15" ht="15.75" customHeight="1" x14ac:dyDescent="0.35">
      <c r="A671" s="21"/>
      <c r="B671" s="19"/>
      <c r="C671" s="20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</row>
    <row r="672" spans="1:15" ht="15.75" customHeight="1" x14ac:dyDescent="0.35">
      <c r="A672" s="21"/>
      <c r="B672" s="19"/>
      <c r="C672" s="20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</row>
    <row r="673" spans="1:15" ht="15.75" customHeight="1" x14ac:dyDescent="0.35">
      <c r="A673" s="21"/>
      <c r="B673" s="19"/>
      <c r="C673" s="20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</row>
    <row r="674" spans="1:15" ht="15.75" customHeight="1" x14ac:dyDescent="0.35">
      <c r="A674" s="21"/>
      <c r="B674" s="19"/>
      <c r="C674" s="20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</row>
    <row r="675" spans="1:15" ht="15.75" customHeight="1" x14ac:dyDescent="0.35">
      <c r="A675" s="21"/>
      <c r="B675" s="19"/>
      <c r="C675" s="20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</row>
    <row r="676" spans="1:15" ht="15.75" customHeight="1" x14ac:dyDescent="0.35">
      <c r="A676" s="21"/>
      <c r="B676" s="19"/>
      <c r="C676" s="20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</row>
    <row r="677" spans="1:15" ht="15.75" customHeight="1" x14ac:dyDescent="0.35">
      <c r="A677" s="21"/>
      <c r="B677" s="19"/>
      <c r="C677" s="20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</row>
    <row r="678" spans="1:15" ht="15.75" customHeight="1" x14ac:dyDescent="0.35">
      <c r="A678" s="21"/>
      <c r="B678" s="19"/>
      <c r="C678" s="20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</row>
    <row r="679" spans="1:15" ht="15.75" customHeight="1" x14ac:dyDescent="0.35">
      <c r="A679" s="21"/>
      <c r="B679" s="19"/>
      <c r="C679" s="20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</row>
    <row r="680" spans="1:15" ht="15.75" customHeight="1" x14ac:dyDescent="0.35">
      <c r="A680" s="21"/>
      <c r="B680" s="19"/>
      <c r="C680" s="20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</row>
    <row r="681" spans="1:15" ht="15.75" customHeight="1" x14ac:dyDescent="0.35">
      <c r="A681" s="21"/>
      <c r="B681" s="19"/>
      <c r="C681" s="20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</row>
    <row r="682" spans="1:15" ht="15.75" customHeight="1" x14ac:dyDescent="0.35">
      <c r="A682" s="21"/>
      <c r="B682" s="19"/>
      <c r="C682" s="20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</row>
    <row r="683" spans="1:15" ht="15.75" customHeight="1" x14ac:dyDescent="0.35">
      <c r="A683" s="21"/>
      <c r="B683" s="19"/>
      <c r="C683" s="20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</row>
    <row r="684" spans="1:15" ht="15.75" customHeight="1" x14ac:dyDescent="0.35">
      <c r="A684" s="21"/>
      <c r="B684" s="19"/>
      <c r="C684" s="20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</row>
    <row r="685" spans="1:15" ht="15.75" customHeight="1" x14ac:dyDescent="0.35">
      <c r="A685" s="21"/>
      <c r="B685" s="19"/>
      <c r="C685" s="20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</row>
    <row r="686" spans="1:15" ht="15.75" customHeight="1" x14ac:dyDescent="0.35">
      <c r="A686" s="21"/>
      <c r="B686" s="19"/>
      <c r="C686" s="20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</row>
    <row r="687" spans="1:15" ht="15.75" customHeight="1" x14ac:dyDescent="0.35">
      <c r="A687" s="21"/>
      <c r="B687" s="19"/>
      <c r="C687" s="20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</row>
    <row r="688" spans="1:15" ht="15.75" customHeight="1" x14ac:dyDescent="0.35">
      <c r="A688" s="21"/>
      <c r="B688" s="19"/>
      <c r="C688" s="20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</row>
    <row r="689" spans="1:15" ht="15.75" customHeight="1" x14ac:dyDescent="0.35">
      <c r="A689" s="21"/>
      <c r="B689" s="19"/>
      <c r="C689" s="20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</row>
    <row r="690" spans="1:15" ht="15.75" customHeight="1" x14ac:dyDescent="0.35">
      <c r="A690" s="21"/>
      <c r="B690" s="19"/>
      <c r="C690" s="20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</row>
    <row r="691" spans="1:15" ht="15.75" customHeight="1" x14ac:dyDescent="0.35">
      <c r="A691" s="21"/>
      <c r="B691" s="19"/>
      <c r="C691" s="20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</row>
    <row r="692" spans="1:15" ht="15.75" customHeight="1" x14ac:dyDescent="0.35">
      <c r="A692" s="21"/>
      <c r="B692" s="19"/>
      <c r="C692" s="20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</row>
    <row r="693" spans="1:15" ht="15.75" customHeight="1" x14ac:dyDescent="0.35">
      <c r="A693" s="21"/>
      <c r="B693" s="19"/>
      <c r="C693" s="20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</row>
    <row r="694" spans="1:15" ht="15.75" customHeight="1" x14ac:dyDescent="0.35">
      <c r="A694" s="21"/>
      <c r="B694" s="19"/>
      <c r="C694" s="20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</row>
    <row r="695" spans="1:15" ht="15.75" customHeight="1" x14ac:dyDescent="0.35">
      <c r="A695" s="21"/>
      <c r="B695" s="19"/>
      <c r="C695" s="20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</row>
    <row r="696" spans="1:15" ht="15.75" customHeight="1" x14ac:dyDescent="0.35">
      <c r="A696" s="21"/>
      <c r="B696" s="19"/>
      <c r="C696" s="20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</row>
    <row r="697" spans="1:15" ht="15.75" customHeight="1" x14ac:dyDescent="0.35">
      <c r="A697" s="21"/>
      <c r="B697" s="19"/>
      <c r="C697" s="20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</row>
    <row r="698" spans="1:15" ht="15.75" customHeight="1" x14ac:dyDescent="0.35">
      <c r="A698" s="21"/>
      <c r="B698" s="19"/>
      <c r="C698" s="20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</row>
    <row r="699" spans="1:15" ht="15.75" customHeight="1" x14ac:dyDescent="0.35">
      <c r="A699" s="21"/>
      <c r="B699" s="19"/>
      <c r="C699" s="20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</row>
    <row r="700" spans="1:15" ht="15.75" customHeight="1" x14ac:dyDescent="0.35">
      <c r="A700" s="21"/>
      <c r="B700" s="19"/>
      <c r="C700" s="20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</row>
    <row r="701" spans="1:15" ht="15.75" customHeight="1" x14ac:dyDescent="0.35">
      <c r="A701" s="21"/>
      <c r="B701" s="19"/>
      <c r="C701" s="20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</row>
    <row r="702" spans="1:15" ht="15.75" customHeight="1" x14ac:dyDescent="0.35">
      <c r="A702" s="21"/>
      <c r="B702" s="19"/>
      <c r="C702" s="20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</row>
    <row r="703" spans="1:15" ht="15.75" customHeight="1" x14ac:dyDescent="0.35">
      <c r="A703" s="21"/>
      <c r="B703" s="19"/>
      <c r="C703" s="20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</row>
    <row r="704" spans="1:15" ht="15.75" customHeight="1" x14ac:dyDescent="0.35">
      <c r="A704" s="21"/>
      <c r="B704" s="19"/>
      <c r="C704" s="20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</row>
    <row r="705" spans="1:15" ht="15.75" customHeight="1" x14ac:dyDescent="0.35">
      <c r="A705" s="21"/>
      <c r="B705" s="19"/>
      <c r="C705" s="20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</row>
    <row r="706" spans="1:15" ht="15.75" customHeight="1" x14ac:dyDescent="0.35">
      <c r="A706" s="21"/>
      <c r="B706" s="19"/>
      <c r="C706" s="20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</row>
    <row r="707" spans="1:15" ht="15.75" customHeight="1" x14ac:dyDescent="0.35">
      <c r="A707" s="21"/>
      <c r="B707" s="19"/>
      <c r="C707" s="20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</row>
    <row r="708" spans="1:15" ht="15.75" customHeight="1" x14ac:dyDescent="0.35">
      <c r="A708" s="21"/>
      <c r="B708" s="19"/>
      <c r="C708" s="20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</row>
    <row r="709" spans="1:15" ht="15.75" customHeight="1" x14ac:dyDescent="0.35">
      <c r="A709" s="21"/>
      <c r="B709" s="19"/>
      <c r="C709" s="20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</row>
    <row r="710" spans="1:15" ht="15.75" customHeight="1" x14ac:dyDescent="0.35">
      <c r="A710" s="21"/>
      <c r="B710" s="19"/>
      <c r="C710" s="20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</row>
    <row r="711" spans="1:15" ht="15.75" customHeight="1" x14ac:dyDescent="0.35">
      <c r="A711" s="21"/>
      <c r="B711" s="19"/>
      <c r="C711" s="20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</row>
    <row r="712" spans="1:15" ht="15.75" customHeight="1" x14ac:dyDescent="0.35">
      <c r="A712" s="21"/>
      <c r="B712" s="19"/>
      <c r="C712" s="20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</row>
    <row r="713" spans="1:15" ht="15.75" customHeight="1" x14ac:dyDescent="0.35">
      <c r="A713" s="21"/>
      <c r="B713" s="19"/>
      <c r="C713" s="20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</row>
    <row r="714" spans="1:15" ht="15.75" customHeight="1" x14ac:dyDescent="0.35">
      <c r="A714" s="21"/>
      <c r="B714" s="19"/>
      <c r="C714" s="20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</row>
    <row r="715" spans="1:15" ht="15.75" customHeight="1" x14ac:dyDescent="0.35">
      <c r="A715" s="21"/>
      <c r="B715" s="19"/>
      <c r="C715" s="20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</row>
    <row r="716" spans="1:15" ht="15.75" customHeight="1" x14ac:dyDescent="0.35">
      <c r="A716" s="21"/>
      <c r="B716" s="19"/>
      <c r="C716" s="20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</row>
    <row r="717" spans="1:15" ht="15.75" customHeight="1" x14ac:dyDescent="0.35">
      <c r="A717" s="21"/>
      <c r="B717" s="19"/>
      <c r="C717" s="20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</row>
    <row r="718" spans="1:15" ht="15.75" customHeight="1" x14ac:dyDescent="0.35">
      <c r="A718" s="21"/>
      <c r="B718" s="19"/>
      <c r="C718" s="20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</row>
    <row r="719" spans="1:15" ht="15.75" customHeight="1" x14ac:dyDescent="0.35">
      <c r="A719" s="21"/>
      <c r="B719" s="19"/>
      <c r="C719" s="20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</row>
    <row r="720" spans="1:15" ht="15.75" customHeight="1" x14ac:dyDescent="0.35">
      <c r="A720" s="21"/>
      <c r="B720" s="19"/>
      <c r="C720" s="20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</row>
    <row r="721" spans="1:15" ht="15.75" customHeight="1" x14ac:dyDescent="0.35">
      <c r="A721" s="21"/>
      <c r="B721" s="19"/>
      <c r="C721" s="20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</row>
    <row r="722" spans="1:15" ht="15.75" customHeight="1" x14ac:dyDescent="0.35">
      <c r="A722" s="21"/>
      <c r="B722" s="19"/>
      <c r="C722" s="20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</row>
    <row r="723" spans="1:15" ht="15.75" customHeight="1" x14ac:dyDescent="0.35">
      <c r="A723" s="21"/>
      <c r="B723" s="19"/>
      <c r="C723" s="20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</row>
    <row r="724" spans="1:15" ht="15.75" customHeight="1" x14ac:dyDescent="0.35">
      <c r="A724" s="21"/>
      <c r="B724" s="19"/>
      <c r="C724" s="20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</row>
    <row r="725" spans="1:15" ht="15.75" customHeight="1" x14ac:dyDescent="0.35">
      <c r="A725" s="21"/>
      <c r="B725" s="19"/>
      <c r="C725" s="20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</row>
    <row r="726" spans="1:15" ht="15.75" customHeight="1" x14ac:dyDescent="0.35">
      <c r="A726" s="21"/>
      <c r="B726" s="19"/>
      <c r="C726" s="20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</row>
    <row r="727" spans="1:15" ht="15.75" customHeight="1" x14ac:dyDescent="0.35">
      <c r="A727" s="21"/>
      <c r="B727" s="19"/>
      <c r="C727" s="20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</row>
    <row r="728" spans="1:15" ht="15.75" customHeight="1" x14ac:dyDescent="0.35">
      <c r="A728" s="21"/>
      <c r="B728" s="19"/>
      <c r="C728" s="20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</row>
    <row r="729" spans="1:15" ht="15.75" customHeight="1" x14ac:dyDescent="0.35">
      <c r="A729" s="21"/>
      <c r="B729" s="19"/>
      <c r="C729" s="20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</row>
    <row r="730" spans="1:15" ht="15.75" customHeight="1" x14ac:dyDescent="0.35">
      <c r="A730" s="21"/>
      <c r="B730" s="19"/>
      <c r="C730" s="20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</row>
    <row r="731" spans="1:15" ht="15.75" customHeight="1" x14ac:dyDescent="0.35">
      <c r="A731" s="21"/>
      <c r="B731" s="19"/>
      <c r="C731" s="20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</row>
    <row r="732" spans="1:15" ht="15.75" customHeight="1" x14ac:dyDescent="0.35">
      <c r="A732" s="21"/>
      <c r="B732" s="19"/>
      <c r="C732" s="20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</row>
    <row r="733" spans="1:15" ht="15.75" customHeight="1" x14ac:dyDescent="0.35">
      <c r="A733" s="21"/>
      <c r="B733" s="19"/>
      <c r="C733" s="20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</row>
    <row r="734" spans="1:15" ht="15.75" customHeight="1" x14ac:dyDescent="0.35">
      <c r="A734" s="21"/>
      <c r="B734" s="19"/>
      <c r="C734" s="20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</row>
    <row r="735" spans="1:15" ht="15.75" customHeight="1" x14ac:dyDescent="0.35">
      <c r="A735" s="21"/>
      <c r="B735" s="19"/>
      <c r="C735" s="20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</row>
    <row r="736" spans="1:15" ht="15.75" customHeight="1" x14ac:dyDescent="0.35">
      <c r="A736" s="21"/>
      <c r="B736" s="19"/>
      <c r="C736" s="20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</row>
    <row r="737" spans="1:15" ht="15.75" customHeight="1" x14ac:dyDescent="0.35">
      <c r="A737" s="21"/>
      <c r="B737" s="19"/>
      <c r="C737" s="20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</row>
    <row r="738" spans="1:15" ht="15.75" customHeight="1" x14ac:dyDescent="0.35">
      <c r="A738" s="21"/>
      <c r="B738" s="19"/>
      <c r="C738" s="20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</row>
    <row r="739" spans="1:15" ht="15.75" customHeight="1" x14ac:dyDescent="0.35">
      <c r="A739" s="21"/>
      <c r="B739" s="19"/>
      <c r="C739" s="20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</row>
    <row r="740" spans="1:15" ht="15.75" customHeight="1" x14ac:dyDescent="0.35">
      <c r="A740" s="21"/>
      <c r="B740" s="19"/>
      <c r="C740" s="20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</row>
    <row r="741" spans="1:15" ht="15.75" customHeight="1" x14ac:dyDescent="0.35">
      <c r="A741" s="21"/>
      <c r="B741" s="19"/>
      <c r="C741" s="20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</row>
    <row r="742" spans="1:15" ht="15.75" customHeight="1" x14ac:dyDescent="0.35">
      <c r="A742" s="21"/>
      <c r="B742" s="19"/>
      <c r="C742" s="20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</row>
    <row r="743" spans="1:15" ht="15.75" customHeight="1" x14ac:dyDescent="0.35">
      <c r="A743" s="21"/>
      <c r="B743" s="19"/>
      <c r="C743" s="20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</row>
    <row r="744" spans="1:15" ht="15.75" customHeight="1" x14ac:dyDescent="0.35">
      <c r="A744" s="21"/>
      <c r="B744" s="19"/>
      <c r="C744" s="20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</row>
    <row r="745" spans="1:15" ht="15.75" customHeight="1" x14ac:dyDescent="0.35">
      <c r="A745" s="21"/>
      <c r="B745" s="19"/>
      <c r="C745" s="20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</row>
    <row r="746" spans="1:15" ht="15.75" customHeight="1" x14ac:dyDescent="0.35">
      <c r="A746" s="21"/>
      <c r="B746" s="19"/>
      <c r="C746" s="20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</row>
    <row r="747" spans="1:15" ht="15.75" customHeight="1" x14ac:dyDescent="0.35">
      <c r="A747" s="21"/>
      <c r="B747" s="19"/>
      <c r="C747" s="20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</row>
    <row r="748" spans="1:15" ht="15.75" customHeight="1" x14ac:dyDescent="0.35">
      <c r="A748" s="21"/>
      <c r="B748" s="19"/>
      <c r="C748" s="20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</row>
    <row r="749" spans="1:15" ht="15.75" customHeight="1" x14ac:dyDescent="0.35">
      <c r="A749" s="21"/>
      <c r="B749" s="19"/>
      <c r="C749" s="20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</row>
    <row r="750" spans="1:15" ht="15.75" customHeight="1" x14ac:dyDescent="0.35">
      <c r="A750" s="21"/>
      <c r="B750" s="19"/>
      <c r="C750" s="20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</row>
    <row r="751" spans="1:15" ht="15.75" customHeight="1" x14ac:dyDescent="0.35">
      <c r="A751" s="21"/>
      <c r="B751" s="19"/>
      <c r="C751" s="20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</row>
    <row r="752" spans="1:15" ht="15.75" customHeight="1" x14ac:dyDescent="0.35">
      <c r="A752" s="22"/>
      <c r="B752" s="19"/>
      <c r="C752" s="20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2"/>
    </row>
    <row r="753" spans="1:15" ht="15.75" customHeight="1" x14ac:dyDescent="0.35">
      <c r="A753" s="22"/>
      <c r="B753" s="19"/>
      <c r="C753" s="20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2"/>
    </row>
    <row r="754" spans="1:15" ht="15.75" customHeight="1" x14ac:dyDescent="0.35">
      <c r="A754" s="22"/>
      <c r="B754" s="19"/>
      <c r="C754" s="20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2"/>
    </row>
    <row r="755" spans="1:15" ht="15.75" customHeight="1" x14ac:dyDescent="0.35">
      <c r="A755" s="22"/>
      <c r="B755" s="19"/>
      <c r="C755" s="20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2"/>
    </row>
    <row r="756" spans="1:15" ht="15.75" customHeight="1" x14ac:dyDescent="0.35">
      <c r="A756" s="22"/>
      <c r="B756" s="19"/>
      <c r="C756" s="20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2"/>
    </row>
    <row r="757" spans="1:15" ht="15.75" customHeight="1" x14ac:dyDescent="0.35">
      <c r="A757" s="22"/>
      <c r="B757" s="19"/>
      <c r="C757" s="20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2"/>
    </row>
    <row r="758" spans="1:15" ht="15.75" customHeight="1" x14ac:dyDescent="0.35">
      <c r="A758" s="22"/>
      <c r="B758" s="19"/>
      <c r="C758" s="20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2"/>
    </row>
    <row r="759" spans="1:15" ht="15.75" customHeight="1" x14ac:dyDescent="0.35">
      <c r="A759" s="22"/>
      <c r="B759" s="19"/>
      <c r="C759" s="20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2"/>
    </row>
    <row r="760" spans="1:15" ht="15.75" customHeight="1" x14ac:dyDescent="0.35">
      <c r="A760" s="22"/>
      <c r="B760" s="19"/>
      <c r="C760" s="20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2"/>
    </row>
    <row r="761" spans="1:15" ht="15.75" customHeight="1" x14ac:dyDescent="0.35">
      <c r="A761" s="22"/>
      <c r="B761" s="19"/>
      <c r="C761" s="20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2"/>
    </row>
    <row r="762" spans="1:15" ht="15.75" customHeight="1" x14ac:dyDescent="0.35">
      <c r="A762" s="22"/>
      <c r="B762" s="19"/>
      <c r="C762" s="20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2"/>
    </row>
    <row r="763" spans="1:15" ht="15.75" customHeight="1" x14ac:dyDescent="0.35">
      <c r="A763" s="22"/>
      <c r="B763" s="19"/>
      <c r="C763" s="20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2"/>
    </row>
    <row r="764" spans="1:15" ht="15.75" customHeight="1" x14ac:dyDescent="0.35">
      <c r="A764" s="22"/>
      <c r="B764" s="19"/>
      <c r="C764" s="20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2"/>
    </row>
    <row r="765" spans="1:15" ht="15.75" customHeight="1" x14ac:dyDescent="0.35">
      <c r="A765" s="22"/>
      <c r="B765" s="19"/>
      <c r="C765" s="20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2"/>
    </row>
    <row r="766" spans="1:15" ht="15.75" customHeight="1" x14ac:dyDescent="0.35">
      <c r="A766" s="22"/>
      <c r="B766" s="19"/>
      <c r="C766" s="20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2"/>
    </row>
    <row r="767" spans="1:15" ht="15.75" customHeight="1" x14ac:dyDescent="0.35">
      <c r="A767" s="22"/>
      <c r="B767" s="19"/>
      <c r="C767" s="20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2"/>
    </row>
    <row r="768" spans="1:15" ht="15.75" customHeight="1" x14ac:dyDescent="0.35">
      <c r="A768" s="22"/>
      <c r="B768" s="19"/>
      <c r="C768" s="20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2"/>
    </row>
    <row r="769" spans="1:15" ht="15.75" customHeight="1" x14ac:dyDescent="0.35">
      <c r="A769" s="22"/>
      <c r="B769" s="19"/>
      <c r="C769" s="20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2"/>
    </row>
    <row r="770" spans="1:15" ht="15.75" customHeight="1" x14ac:dyDescent="0.35">
      <c r="A770" s="22"/>
      <c r="B770" s="19"/>
      <c r="C770" s="20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2"/>
    </row>
    <row r="771" spans="1:15" ht="15.75" customHeight="1" x14ac:dyDescent="0.35">
      <c r="A771" s="22"/>
      <c r="B771" s="19"/>
      <c r="C771" s="20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2"/>
    </row>
    <row r="772" spans="1:15" ht="15.75" customHeight="1" x14ac:dyDescent="0.35">
      <c r="A772" s="22"/>
      <c r="B772" s="19"/>
      <c r="C772" s="20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2"/>
    </row>
    <row r="773" spans="1:15" ht="15.75" customHeight="1" x14ac:dyDescent="0.35">
      <c r="A773" s="22"/>
      <c r="B773" s="19"/>
      <c r="C773" s="20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2"/>
    </row>
    <row r="774" spans="1:15" ht="15.75" customHeight="1" x14ac:dyDescent="0.35">
      <c r="A774" s="22"/>
      <c r="B774" s="19"/>
      <c r="C774" s="20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2"/>
    </row>
    <row r="775" spans="1:15" ht="15.75" customHeight="1" x14ac:dyDescent="0.35">
      <c r="A775" s="22"/>
      <c r="B775" s="19"/>
      <c r="C775" s="20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2"/>
    </row>
    <row r="776" spans="1:15" ht="15.75" customHeight="1" x14ac:dyDescent="0.35">
      <c r="A776" s="22"/>
      <c r="B776" s="19"/>
      <c r="C776" s="20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2"/>
    </row>
    <row r="777" spans="1:15" ht="15.75" customHeight="1" x14ac:dyDescent="0.35">
      <c r="A777" s="22"/>
      <c r="B777" s="19"/>
      <c r="C777" s="20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2"/>
    </row>
    <row r="778" spans="1:15" ht="15.75" customHeight="1" x14ac:dyDescent="0.35">
      <c r="A778" s="22"/>
      <c r="B778" s="19"/>
      <c r="C778" s="20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2"/>
    </row>
    <row r="779" spans="1:15" ht="15.75" customHeight="1" x14ac:dyDescent="0.35">
      <c r="A779" s="22"/>
      <c r="B779" s="19"/>
      <c r="C779" s="20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2"/>
    </row>
    <row r="780" spans="1:15" ht="15.75" customHeight="1" x14ac:dyDescent="0.35">
      <c r="A780" s="22"/>
      <c r="B780" s="19"/>
      <c r="C780" s="20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2"/>
    </row>
    <row r="781" spans="1:15" ht="15.75" customHeight="1" x14ac:dyDescent="0.35">
      <c r="A781" s="22"/>
      <c r="B781" s="19"/>
      <c r="C781" s="20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2"/>
    </row>
    <row r="782" spans="1:15" ht="15.75" customHeight="1" x14ac:dyDescent="0.35">
      <c r="A782" s="22"/>
      <c r="B782" s="19"/>
      <c r="C782" s="20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2"/>
    </row>
    <row r="783" spans="1:15" ht="15.75" customHeight="1" x14ac:dyDescent="0.35">
      <c r="A783" s="22"/>
      <c r="B783" s="19"/>
      <c r="C783" s="20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2"/>
    </row>
    <row r="784" spans="1:15" ht="15.75" customHeight="1" x14ac:dyDescent="0.35">
      <c r="A784" s="22"/>
      <c r="B784" s="19"/>
      <c r="C784" s="20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2"/>
    </row>
    <row r="785" spans="1:15" ht="15.75" customHeight="1" x14ac:dyDescent="0.35">
      <c r="A785" s="22"/>
      <c r="B785" s="19"/>
      <c r="C785" s="20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2"/>
    </row>
    <row r="786" spans="1:15" ht="15.75" customHeight="1" x14ac:dyDescent="0.35">
      <c r="A786" s="22"/>
      <c r="B786" s="19"/>
      <c r="C786" s="20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2"/>
    </row>
    <row r="787" spans="1:15" ht="15.75" customHeight="1" x14ac:dyDescent="0.35">
      <c r="A787" s="22"/>
      <c r="B787" s="19"/>
      <c r="C787" s="20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2"/>
    </row>
    <row r="788" spans="1:15" ht="15.75" customHeight="1" x14ac:dyDescent="0.35">
      <c r="A788" s="22"/>
      <c r="B788" s="19"/>
      <c r="C788" s="20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2"/>
    </row>
    <row r="789" spans="1:15" ht="15.75" customHeight="1" x14ac:dyDescent="0.35">
      <c r="A789" s="22"/>
      <c r="B789" s="19"/>
      <c r="C789" s="20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2"/>
    </row>
    <row r="790" spans="1:15" ht="15.75" customHeight="1" x14ac:dyDescent="0.35">
      <c r="A790" s="22"/>
      <c r="B790" s="19"/>
      <c r="C790" s="20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2"/>
    </row>
    <row r="791" spans="1:15" ht="15.75" customHeight="1" x14ac:dyDescent="0.35">
      <c r="A791" s="22"/>
      <c r="B791" s="19"/>
      <c r="C791" s="20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2"/>
    </row>
    <row r="792" spans="1:15" ht="15.75" customHeight="1" x14ac:dyDescent="0.35">
      <c r="A792" s="22"/>
      <c r="B792" s="19"/>
      <c r="C792" s="20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2"/>
    </row>
    <row r="793" spans="1:15" ht="15.75" customHeight="1" x14ac:dyDescent="0.35">
      <c r="A793" s="22"/>
      <c r="B793" s="19"/>
      <c r="C793" s="20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2"/>
    </row>
    <row r="794" spans="1:15" ht="15.75" customHeight="1" x14ac:dyDescent="0.35">
      <c r="A794" s="22"/>
      <c r="B794" s="19"/>
      <c r="C794" s="20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2"/>
    </row>
    <row r="795" spans="1:15" ht="15.75" customHeight="1" x14ac:dyDescent="0.35">
      <c r="A795" s="22"/>
      <c r="B795" s="19"/>
      <c r="C795" s="20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2"/>
    </row>
    <row r="796" spans="1:15" ht="15.75" customHeight="1" x14ac:dyDescent="0.35">
      <c r="A796" s="22"/>
      <c r="B796" s="19"/>
      <c r="C796" s="20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2"/>
    </row>
    <row r="797" spans="1:15" ht="15.75" customHeight="1" x14ac:dyDescent="0.35">
      <c r="A797" s="22"/>
      <c r="B797" s="19"/>
      <c r="C797" s="20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2"/>
    </row>
    <row r="798" spans="1:15" ht="15.75" customHeight="1" x14ac:dyDescent="0.35">
      <c r="A798" s="22"/>
      <c r="B798" s="19"/>
      <c r="C798" s="20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2"/>
    </row>
    <row r="799" spans="1:15" ht="15.75" customHeight="1" x14ac:dyDescent="0.35">
      <c r="A799" s="22"/>
      <c r="B799" s="19"/>
      <c r="C799" s="20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2"/>
    </row>
    <row r="800" spans="1:15" ht="15.75" customHeight="1" x14ac:dyDescent="0.35">
      <c r="A800" s="22"/>
      <c r="B800" s="19"/>
      <c r="C800" s="20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2"/>
    </row>
    <row r="801" spans="1:15" ht="15.75" customHeight="1" x14ac:dyDescent="0.35">
      <c r="A801" s="22"/>
      <c r="B801" s="19"/>
      <c r="C801" s="20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2"/>
    </row>
    <row r="802" spans="1:15" ht="15.75" customHeight="1" x14ac:dyDescent="0.35">
      <c r="A802" s="22"/>
      <c r="B802" s="19"/>
      <c r="C802" s="20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2"/>
    </row>
    <row r="803" spans="1:15" ht="15.75" customHeight="1" x14ac:dyDescent="0.35">
      <c r="A803" s="22"/>
      <c r="B803" s="19"/>
      <c r="C803" s="20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2"/>
    </row>
    <row r="804" spans="1:15" ht="15.75" customHeight="1" x14ac:dyDescent="0.35">
      <c r="A804" s="22"/>
      <c r="B804" s="19"/>
      <c r="C804" s="20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2"/>
    </row>
    <row r="805" spans="1:15" ht="15.75" customHeight="1" x14ac:dyDescent="0.35">
      <c r="A805" s="22"/>
      <c r="B805" s="19"/>
      <c r="C805" s="20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2"/>
    </row>
    <row r="806" spans="1:15" ht="15.75" customHeight="1" x14ac:dyDescent="0.35">
      <c r="A806" s="22"/>
      <c r="B806" s="19"/>
      <c r="C806" s="20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2"/>
    </row>
    <row r="807" spans="1:15" ht="15.75" customHeight="1" x14ac:dyDescent="0.35">
      <c r="A807" s="22"/>
      <c r="B807" s="19"/>
      <c r="C807" s="20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2"/>
    </row>
    <row r="808" spans="1:15" ht="15.75" customHeight="1" x14ac:dyDescent="0.35">
      <c r="A808" s="22"/>
      <c r="B808" s="19"/>
      <c r="C808" s="20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2"/>
    </row>
    <row r="809" spans="1:15" ht="15.75" customHeight="1" x14ac:dyDescent="0.35">
      <c r="A809" s="22"/>
      <c r="B809" s="19"/>
      <c r="C809" s="20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2"/>
    </row>
    <row r="810" spans="1:15" ht="15.75" customHeight="1" x14ac:dyDescent="0.35">
      <c r="A810" s="22"/>
      <c r="B810" s="19"/>
      <c r="C810" s="20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2"/>
    </row>
    <row r="811" spans="1:15" ht="15.75" customHeight="1" x14ac:dyDescent="0.35">
      <c r="A811" s="22"/>
      <c r="B811" s="19"/>
      <c r="C811" s="20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2"/>
    </row>
    <row r="812" spans="1:15" ht="15.75" customHeight="1" x14ac:dyDescent="0.35">
      <c r="A812" s="22"/>
      <c r="B812" s="19"/>
      <c r="C812" s="20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2"/>
    </row>
    <row r="813" spans="1:15" ht="15.75" customHeight="1" x14ac:dyDescent="0.35">
      <c r="A813" s="22"/>
      <c r="B813" s="19"/>
      <c r="C813" s="20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2"/>
    </row>
    <row r="814" spans="1:15" ht="15.75" customHeight="1" x14ac:dyDescent="0.35">
      <c r="A814" s="22"/>
      <c r="B814" s="19"/>
      <c r="C814" s="20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2"/>
    </row>
    <row r="815" spans="1:15" ht="15.75" customHeight="1" x14ac:dyDescent="0.35">
      <c r="A815" s="22"/>
      <c r="B815" s="19"/>
      <c r="C815" s="20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2"/>
    </row>
    <row r="816" spans="1:15" ht="15.75" customHeight="1" x14ac:dyDescent="0.35">
      <c r="A816" s="22"/>
      <c r="B816" s="19"/>
      <c r="C816" s="20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2"/>
    </row>
    <row r="817" spans="1:15" ht="15.75" customHeight="1" x14ac:dyDescent="0.35">
      <c r="A817" s="22"/>
      <c r="B817" s="19"/>
      <c r="C817" s="20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2"/>
    </row>
    <row r="818" spans="1:15" ht="15.75" customHeight="1" x14ac:dyDescent="0.35">
      <c r="A818" s="22"/>
      <c r="B818" s="19"/>
      <c r="C818" s="20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2"/>
    </row>
    <row r="819" spans="1:15" ht="15.75" customHeight="1" x14ac:dyDescent="0.35">
      <c r="A819" s="22"/>
      <c r="B819" s="19"/>
      <c r="C819" s="20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2"/>
    </row>
    <row r="820" spans="1:15" ht="15.75" customHeight="1" x14ac:dyDescent="0.35">
      <c r="A820" s="22"/>
      <c r="B820" s="19"/>
      <c r="C820" s="20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2"/>
    </row>
    <row r="821" spans="1:15" ht="15.75" customHeight="1" x14ac:dyDescent="0.35">
      <c r="A821" s="22"/>
      <c r="B821" s="19"/>
      <c r="C821" s="20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2"/>
    </row>
    <row r="822" spans="1:15" ht="15.75" customHeight="1" x14ac:dyDescent="0.35">
      <c r="A822" s="22"/>
      <c r="B822" s="19"/>
      <c r="C822" s="20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2"/>
    </row>
    <row r="823" spans="1:15" ht="15.75" customHeight="1" x14ac:dyDescent="0.35">
      <c r="A823" s="22"/>
      <c r="B823" s="19"/>
      <c r="C823" s="20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2"/>
    </row>
    <row r="824" spans="1:15" ht="15.75" customHeight="1" x14ac:dyDescent="0.35">
      <c r="A824" s="22"/>
      <c r="B824" s="19"/>
      <c r="C824" s="20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2"/>
    </row>
    <row r="825" spans="1:15" ht="15.75" customHeight="1" x14ac:dyDescent="0.35">
      <c r="A825" s="22"/>
      <c r="B825" s="19"/>
      <c r="C825" s="20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2"/>
    </row>
    <row r="826" spans="1:15" ht="15.75" customHeight="1" x14ac:dyDescent="0.35">
      <c r="A826" s="22"/>
      <c r="B826" s="19"/>
      <c r="C826" s="20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2"/>
    </row>
    <row r="827" spans="1:15" ht="15.75" customHeight="1" x14ac:dyDescent="0.35">
      <c r="A827" s="22"/>
      <c r="B827" s="19"/>
      <c r="C827" s="20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2"/>
    </row>
    <row r="828" spans="1:15" ht="15.75" customHeight="1" x14ac:dyDescent="0.35">
      <c r="A828" s="22"/>
      <c r="B828" s="19"/>
      <c r="C828" s="20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2"/>
    </row>
    <row r="829" spans="1:15" ht="15.75" customHeight="1" x14ac:dyDescent="0.35">
      <c r="A829" s="22"/>
      <c r="B829" s="19"/>
      <c r="C829" s="20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2"/>
    </row>
    <row r="830" spans="1:15" ht="15.75" customHeight="1" x14ac:dyDescent="0.35">
      <c r="A830" s="22"/>
      <c r="B830" s="19"/>
      <c r="C830" s="20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2"/>
    </row>
    <row r="831" spans="1:15" ht="15.75" customHeight="1" x14ac:dyDescent="0.35">
      <c r="A831" s="22"/>
      <c r="B831" s="19"/>
      <c r="C831" s="20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2"/>
    </row>
    <row r="832" spans="1:15" ht="15.75" customHeight="1" x14ac:dyDescent="0.35">
      <c r="A832" s="22"/>
      <c r="B832" s="19"/>
      <c r="C832" s="20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2"/>
    </row>
    <row r="833" spans="1:15" ht="15.75" customHeight="1" x14ac:dyDescent="0.35">
      <c r="A833" s="22"/>
      <c r="B833" s="19"/>
      <c r="C833" s="20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2"/>
    </row>
    <row r="834" spans="1:15" ht="15.75" customHeight="1" x14ac:dyDescent="0.35">
      <c r="A834" s="22"/>
      <c r="B834" s="19"/>
      <c r="C834" s="20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2"/>
    </row>
    <row r="835" spans="1:15" ht="15.75" customHeight="1" x14ac:dyDescent="0.35">
      <c r="A835" s="22"/>
      <c r="B835" s="19"/>
      <c r="C835" s="20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2"/>
    </row>
    <row r="836" spans="1:15" ht="15.75" customHeight="1" x14ac:dyDescent="0.35">
      <c r="A836" s="22"/>
      <c r="B836" s="19"/>
      <c r="C836" s="20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2"/>
    </row>
    <row r="837" spans="1:15" ht="15.75" customHeight="1" x14ac:dyDescent="0.35">
      <c r="A837" s="22"/>
      <c r="B837" s="19"/>
      <c r="C837" s="20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2"/>
    </row>
    <row r="838" spans="1:15" ht="15.75" customHeight="1" x14ac:dyDescent="0.35">
      <c r="A838" s="22"/>
      <c r="B838" s="19"/>
      <c r="C838" s="20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2"/>
    </row>
    <row r="839" spans="1:15" ht="15.75" customHeight="1" x14ac:dyDescent="0.35">
      <c r="A839" s="22"/>
      <c r="B839" s="19"/>
      <c r="C839" s="20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2"/>
    </row>
    <row r="840" spans="1:15" ht="15.75" customHeight="1" x14ac:dyDescent="0.35">
      <c r="A840" s="22"/>
      <c r="B840" s="19"/>
      <c r="C840" s="20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2"/>
    </row>
    <row r="841" spans="1:15" ht="15.75" customHeight="1" x14ac:dyDescent="0.35">
      <c r="A841" s="22"/>
      <c r="B841" s="19"/>
      <c r="C841" s="20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2"/>
    </row>
    <row r="842" spans="1:15" ht="15.75" customHeight="1" x14ac:dyDescent="0.35">
      <c r="A842" s="22"/>
      <c r="B842" s="19"/>
      <c r="C842" s="20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2"/>
    </row>
    <row r="843" spans="1:15" ht="15.75" customHeight="1" x14ac:dyDescent="0.35">
      <c r="A843" s="22"/>
      <c r="B843" s="19"/>
      <c r="C843" s="20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2"/>
    </row>
    <row r="844" spans="1:15" ht="15.75" customHeight="1" x14ac:dyDescent="0.35">
      <c r="A844" s="22"/>
      <c r="B844" s="19"/>
      <c r="C844" s="20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2"/>
    </row>
    <row r="845" spans="1:15" ht="15.75" customHeight="1" x14ac:dyDescent="0.35">
      <c r="A845" s="22"/>
      <c r="B845" s="19"/>
      <c r="C845" s="20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2"/>
    </row>
    <row r="846" spans="1:15" ht="15.75" customHeight="1" x14ac:dyDescent="0.35">
      <c r="A846" s="22"/>
      <c r="B846" s="19"/>
      <c r="C846" s="20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2"/>
    </row>
    <row r="847" spans="1:15" ht="15.75" customHeight="1" x14ac:dyDescent="0.35">
      <c r="A847" s="22"/>
      <c r="B847" s="19"/>
      <c r="C847" s="20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2"/>
    </row>
    <row r="848" spans="1:15" ht="15.75" customHeight="1" x14ac:dyDescent="0.35">
      <c r="A848" s="22"/>
      <c r="B848" s="19"/>
      <c r="C848" s="20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2"/>
    </row>
    <row r="849" spans="1:15" ht="15.75" customHeight="1" x14ac:dyDescent="0.35">
      <c r="A849" s="22"/>
      <c r="B849" s="19"/>
      <c r="C849" s="20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2"/>
    </row>
    <row r="850" spans="1:15" ht="15.75" customHeight="1" x14ac:dyDescent="0.35">
      <c r="A850" s="22"/>
      <c r="B850" s="19"/>
      <c r="C850" s="20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2"/>
    </row>
    <row r="851" spans="1:15" ht="15.75" customHeight="1" x14ac:dyDescent="0.35">
      <c r="A851" s="22"/>
      <c r="B851" s="19"/>
      <c r="C851" s="20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2"/>
    </row>
    <row r="852" spans="1:15" ht="15.75" customHeight="1" x14ac:dyDescent="0.35">
      <c r="A852" s="22"/>
      <c r="B852" s="19"/>
      <c r="C852" s="20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2"/>
    </row>
    <row r="853" spans="1:15" ht="15.75" customHeight="1" x14ac:dyDescent="0.35">
      <c r="A853" s="22"/>
      <c r="B853" s="19"/>
      <c r="C853" s="20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2"/>
    </row>
    <row r="854" spans="1:15" ht="15.75" customHeight="1" x14ac:dyDescent="0.35">
      <c r="A854" s="22"/>
      <c r="B854" s="19"/>
      <c r="C854" s="20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2"/>
    </row>
    <row r="855" spans="1:15" ht="15.75" customHeight="1" x14ac:dyDescent="0.35">
      <c r="A855" s="22"/>
      <c r="B855" s="19"/>
      <c r="C855" s="20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2"/>
    </row>
    <row r="856" spans="1:15" ht="15.75" customHeight="1" x14ac:dyDescent="0.35">
      <c r="A856" s="22"/>
      <c r="B856" s="19"/>
      <c r="C856" s="20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2"/>
    </row>
    <row r="857" spans="1:15" ht="15.75" customHeight="1" x14ac:dyDescent="0.35">
      <c r="A857" s="22"/>
      <c r="B857" s="19"/>
      <c r="C857" s="20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2"/>
    </row>
    <row r="858" spans="1:15" ht="15.75" customHeight="1" x14ac:dyDescent="0.35">
      <c r="A858" s="22"/>
      <c r="B858" s="19"/>
      <c r="C858" s="20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2"/>
    </row>
    <row r="859" spans="1:15" ht="15.75" customHeight="1" x14ac:dyDescent="0.35">
      <c r="A859" s="22"/>
      <c r="B859" s="19"/>
      <c r="C859" s="20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2"/>
    </row>
    <row r="860" spans="1:15" ht="15.75" customHeight="1" x14ac:dyDescent="0.35">
      <c r="A860" s="22"/>
      <c r="B860" s="19"/>
      <c r="C860" s="20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2"/>
    </row>
    <row r="861" spans="1:15" ht="15.75" customHeight="1" x14ac:dyDescent="0.35">
      <c r="A861" s="22"/>
      <c r="B861" s="19"/>
      <c r="C861" s="20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2"/>
    </row>
    <row r="862" spans="1:15" ht="15.75" customHeight="1" x14ac:dyDescent="0.35">
      <c r="A862" s="22"/>
      <c r="B862" s="19"/>
      <c r="C862" s="20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2"/>
    </row>
    <row r="863" spans="1:15" ht="15.75" customHeight="1" x14ac:dyDescent="0.35">
      <c r="A863" s="22"/>
      <c r="B863" s="19"/>
      <c r="C863" s="20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2"/>
    </row>
    <row r="864" spans="1:15" ht="15.75" customHeight="1" x14ac:dyDescent="0.35">
      <c r="A864" s="22"/>
      <c r="B864" s="19"/>
      <c r="C864" s="20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2"/>
    </row>
    <row r="865" spans="1:15" ht="15.75" customHeight="1" x14ac:dyDescent="0.35">
      <c r="A865" s="22"/>
      <c r="B865" s="19"/>
      <c r="C865" s="20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2"/>
    </row>
    <row r="866" spans="1:15" ht="15.75" customHeight="1" x14ac:dyDescent="0.35">
      <c r="A866" s="22"/>
      <c r="B866" s="19"/>
      <c r="C866" s="20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2"/>
    </row>
    <row r="867" spans="1:15" ht="15.75" customHeight="1" x14ac:dyDescent="0.35">
      <c r="A867" s="22"/>
      <c r="B867" s="19"/>
      <c r="C867" s="20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2"/>
    </row>
    <row r="868" spans="1:15" ht="15.75" customHeight="1" x14ac:dyDescent="0.35">
      <c r="A868" s="22"/>
      <c r="B868" s="19"/>
      <c r="C868" s="20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2"/>
    </row>
    <row r="869" spans="1:15" ht="15.75" customHeight="1" x14ac:dyDescent="0.35">
      <c r="A869" s="22"/>
      <c r="B869" s="19"/>
      <c r="C869" s="20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2"/>
    </row>
    <row r="870" spans="1:15" ht="15.75" customHeight="1" x14ac:dyDescent="0.35">
      <c r="A870" s="22"/>
      <c r="B870" s="19"/>
      <c r="C870" s="20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2"/>
    </row>
    <row r="871" spans="1:15" ht="15.75" customHeight="1" x14ac:dyDescent="0.35">
      <c r="A871" s="22"/>
      <c r="B871" s="19"/>
      <c r="C871" s="20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2"/>
    </row>
    <row r="872" spans="1:15" ht="15.75" customHeight="1" x14ac:dyDescent="0.35">
      <c r="A872" s="22"/>
      <c r="B872" s="19"/>
      <c r="C872" s="20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2"/>
    </row>
    <row r="873" spans="1:15" ht="15.75" customHeight="1" x14ac:dyDescent="0.35">
      <c r="A873" s="22"/>
      <c r="B873" s="19"/>
      <c r="C873" s="20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2"/>
    </row>
    <row r="874" spans="1:15" ht="15.75" customHeight="1" x14ac:dyDescent="0.35">
      <c r="A874" s="22"/>
      <c r="B874" s="19"/>
      <c r="C874" s="20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2"/>
    </row>
    <row r="875" spans="1:15" ht="15.75" customHeight="1" x14ac:dyDescent="0.35">
      <c r="A875" s="22"/>
      <c r="B875" s="19"/>
      <c r="C875" s="20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2"/>
    </row>
    <row r="876" spans="1:15" ht="15.75" customHeight="1" x14ac:dyDescent="0.35">
      <c r="A876" s="22"/>
      <c r="B876" s="19"/>
      <c r="C876" s="20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2"/>
    </row>
    <row r="877" spans="1:15" ht="15.75" customHeight="1" x14ac:dyDescent="0.35">
      <c r="A877" s="22"/>
      <c r="B877" s="19"/>
      <c r="C877" s="20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2"/>
    </row>
    <row r="878" spans="1:15" ht="15.75" customHeight="1" x14ac:dyDescent="0.35">
      <c r="A878" s="22"/>
      <c r="B878" s="19"/>
      <c r="C878" s="20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2"/>
    </row>
    <row r="879" spans="1:15" ht="15.75" customHeight="1" x14ac:dyDescent="0.35">
      <c r="A879" s="22"/>
      <c r="B879" s="19"/>
      <c r="C879" s="20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2"/>
    </row>
    <row r="880" spans="1:15" ht="15.75" customHeight="1" x14ac:dyDescent="0.35">
      <c r="A880" s="22"/>
      <c r="B880" s="19"/>
      <c r="C880" s="20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2"/>
    </row>
    <row r="881" spans="1:15" ht="15.75" customHeight="1" x14ac:dyDescent="0.35">
      <c r="A881" s="22"/>
      <c r="B881" s="19"/>
      <c r="C881" s="20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2"/>
    </row>
    <row r="882" spans="1:15" ht="15.75" customHeight="1" x14ac:dyDescent="0.35">
      <c r="A882" s="22"/>
      <c r="B882" s="19"/>
      <c r="C882" s="20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2"/>
    </row>
    <row r="883" spans="1:15" ht="15.75" customHeight="1" x14ac:dyDescent="0.35">
      <c r="A883" s="22"/>
      <c r="B883" s="19"/>
      <c r="C883" s="20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2"/>
    </row>
    <row r="884" spans="1:15" ht="15.75" customHeight="1" x14ac:dyDescent="0.35">
      <c r="A884" s="22"/>
      <c r="B884" s="19"/>
      <c r="C884" s="20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2"/>
    </row>
    <row r="885" spans="1:15" ht="15.75" customHeight="1" x14ac:dyDescent="0.35">
      <c r="A885" s="22"/>
      <c r="B885" s="19"/>
      <c r="C885" s="20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2"/>
    </row>
    <row r="886" spans="1:15" ht="15.75" customHeight="1" x14ac:dyDescent="0.35">
      <c r="A886" s="22"/>
      <c r="B886" s="19"/>
      <c r="C886" s="20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2"/>
    </row>
  </sheetData>
  <autoFilter ref="B4:O9" xr:uid="{00000000-0009-0000-0000-00000A000000}">
    <sortState xmlns:xlrd2="http://schemas.microsoft.com/office/spreadsheetml/2017/richdata2" ref="B5:O9">
      <sortCondition ref="B4:B9"/>
      <sortCondition ref="C4:C9"/>
      <sortCondition descending="1" ref="E4:E9"/>
    </sortState>
  </autoFilter>
  <mergeCells count="12">
    <mergeCell ref="F2:F3"/>
    <mergeCell ref="G2:I2"/>
    <mergeCell ref="K2:K3"/>
    <mergeCell ref="L2:N2"/>
    <mergeCell ref="A1:B1"/>
    <mergeCell ref="C1:O1"/>
    <mergeCell ref="A2:A3"/>
    <mergeCell ref="B2:B3"/>
    <mergeCell ref="C2:C3"/>
    <mergeCell ref="D2:D3"/>
    <mergeCell ref="E2:E3"/>
    <mergeCell ref="O2:O3"/>
  </mergeCells>
  <dataValidations count="3">
    <dataValidation type="list" allowBlank="1" showErrorMessage="1" sqref="F5:F9" xr:uid="{00000000-0002-0000-0A00-000000000000}">
      <formula1>"Central,Linda Vista,Norte,Sur,Carazo,Masatepe,Granada,Estelí,Juigalpa,Otra"</formula1>
    </dataValidation>
    <dataValidation type="list" allowBlank="1" showErrorMessage="1" sqref="C5:C9" xr:uid="{00000000-0002-0000-0A00-000001000000}">
      <formula1>"Nivel 1,2"</formula1>
    </dataValidation>
    <dataValidation type="list" allowBlank="1" showErrorMessage="1" sqref="G5:J9" xr:uid="{00000000-0002-0000-0A00-000002000000}">
      <formula1>"X,A,T,J"</formula1>
    </dataValidation>
  </dataValidations>
  <pageMargins left="0.7" right="0.7" top="0.75" bottom="0.75" header="0" footer="0"/>
  <pageSetup paperSize="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A9999"/>
  </sheetPr>
  <dimension ref="A1:Q891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defaultColWidth="10.07421875" defaultRowHeight="15" customHeight="1" x14ac:dyDescent="0.35"/>
  <cols>
    <col min="1" max="1" width="3.23046875" customWidth="1"/>
    <col min="2" max="2" width="17.765625" customWidth="1"/>
    <col min="3" max="3" width="10.921875" customWidth="1"/>
    <col min="4" max="4" width="4.3828125" customWidth="1"/>
    <col min="5" max="5" width="11" customWidth="1"/>
    <col min="6" max="6" width="11.3828125" customWidth="1"/>
    <col min="7" max="7" width="5" customWidth="1"/>
    <col min="8" max="11" width="6.07421875" customWidth="1"/>
    <col min="12" max="12" width="10" customWidth="1"/>
    <col min="13" max="13" width="6.69140625" customWidth="1"/>
    <col min="14" max="16" width="3.921875" customWidth="1"/>
    <col min="17" max="17" width="5.4609375" customWidth="1"/>
  </cols>
  <sheetData>
    <row r="1" spans="1:17" ht="18.75" customHeight="1" x14ac:dyDescent="0.35">
      <c r="A1" s="47" t="s">
        <v>0</v>
      </c>
      <c r="B1" s="50"/>
      <c r="C1" s="51" t="s">
        <v>277</v>
      </c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9"/>
    </row>
    <row r="2" spans="1:17" ht="15.5" x14ac:dyDescent="0.35">
      <c r="A2" s="52" t="s">
        <v>2</v>
      </c>
      <c r="B2" s="54" t="s">
        <v>3</v>
      </c>
      <c r="C2" s="56" t="s">
        <v>4</v>
      </c>
      <c r="D2" s="54" t="s">
        <v>267</v>
      </c>
      <c r="E2" s="54" t="s">
        <v>268</v>
      </c>
      <c r="F2" s="54" t="s">
        <v>269</v>
      </c>
      <c r="G2" s="58" t="s">
        <v>236</v>
      </c>
      <c r="H2" s="59"/>
      <c r="I2" s="59"/>
      <c r="J2" s="58" t="s">
        <v>237</v>
      </c>
      <c r="K2" s="59"/>
      <c r="L2" s="61" t="s">
        <v>270</v>
      </c>
      <c r="M2" s="61" t="s">
        <v>278</v>
      </c>
      <c r="N2" s="58" t="s">
        <v>271</v>
      </c>
      <c r="O2" s="59"/>
      <c r="P2" s="60"/>
      <c r="Q2" s="62" t="s">
        <v>11</v>
      </c>
    </row>
    <row r="3" spans="1:17" ht="14.25" customHeight="1" x14ac:dyDescent="0.35">
      <c r="A3" s="53"/>
      <c r="B3" s="55"/>
      <c r="C3" s="55"/>
      <c r="D3" s="55"/>
      <c r="E3" s="55"/>
      <c r="F3" s="55"/>
      <c r="G3" s="1">
        <v>14</v>
      </c>
      <c r="H3" s="1">
        <v>21</v>
      </c>
      <c r="I3" s="1">
        <v>28</v>
      </c>
      <c r="J3" s="1">
        <v>11</v>
      </c>
      <c r="K3" s="1">
        <v>18</v>
      </c>
      <c r="L3" s="55"/>
      <c r="M3" s="55"/>
      <c r="N3" s="1">
        <v>1</v>
      </c>
      <c r="O3" s="1">
        <v>2</v>
      </c>
      <c r="P3" s="1">
        <v>3</v>
      </c>
      <c r="Q3" s="63"/>
    </row>
    <row r="4" spans="1:17" ht="12" customHeight="1" x14ac:dyDescent="0.35">
      <c r="A4" s="4"/>
      <c r="B4" s="5"/>
      <c r="C4" s="6"/>
      <c r="D4" s="26"/>
      <c r="E4" s="26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32"/>
    </row>
    <row r="5" spans="1:17" ht="22.5" customHeight="1" x14ac:dyDescent="0.35">
      <c r="A5" s="7">
        <v>1</v>
      </c>
      <c r="B5" s="19" t="s">
        <v>279</v>
      </c>
      <c r="C5" s="6" t="s">
        <v>280</v>
      </c>
      <c r="D5" s="33">
        <v>26</v>
      </c>
      <c r="E5" s="28">
        <v>76592784</v>
      </c>
      <c r="F5" s="26" t="s">
        <v>281</v>
      </c>
      <c r="G5" s="1"/>
      <c r="H5" s="9"/>
      <c r="I5" s="9"/>
      <c r="J5" s="9"/>
      <c r="K5" s="9"/>
      <c r="L5" s="9">
        <f t="shared" ref="L5:L14" si="0">COUNTIF(G5:H5,"A")</f>
        <v>0</v>
      </c>
      <c r="M5" s="9" t="s">
        <v>14</v>
      </c>
      <c r="N5" s="9" t="s">
        <v>282</v>
      </c>
      <c r="O5" s="9"/>
      <c r="P5" s="9"/>
      <c r="Q5" s="32"/>
    </row>
    <row r="6" spans="1:17" ht="22.5" customHeight="1" x14ac:dyDescent="0.35">
      <c r="A6" s="7">
        <v>2</v>
      </c>
      <c r="B6" s="5"/>
      <c r="C6" s="6"/>
      <c r="D6" s="33"/>
      <c r="E6" s="28"/>
      <c r="F6" s="26"/>
      <c r="G6" s="1"/>
      <c r="H6" s="9"/>
      <c r="I6" s="9"/>
      <c r="J6" s="9"/>
      <c r="K6" s="9"/>
      <c r="L6" s="9">
        <f t="shared" si="0"/>
        <v>0</v>
      </c>
      <c r="M6" s="9" t="s">
        <v>283</v>
      </c>
      <c r="N6" s="9"/>
      <c r="O6" s="9"/>
      <c r="P6" s="9"/>
      <c r="Q6" s="32"/>
    </row>
    <row r="7" spans="1:17" ht="22.5" customHeight="1" x14ac:dyDescent="0.35">
      <c r="A7" s="7">
        <v>3</v>
      </c>
      <c r="B7" s="8"/>
      <c r="C7" s="6"/>
      <c r="D7" s="33"/>
      <c r="E7" s="28"/>
      <c r="F7" s="26"/>
      <c r="G7" s="1"/>
      <c r="H7" s="9"/>
      <c r="I7" s="9"/>
      <c r="J7" s="9"/>
      <c r="K7" s="9"/>
      <c r="L7" s="9">
        <f t="shared" si="0"/>
        <v>0</v>
      </c>
      <c r="M7" s="9"/>
      <c r="N7" s="9"/>
      <c r="O7" s="9"/>
      <c r="P7" s="9"/>
      <c r="Q7" s="32"/>
    </row>
    <row r="8" spans="1:17" ht="22.5" customHeight="1" x14ac:dyDescent="0.35">
      <c r="A8" s="7">
        <v>4</v>
      </c>
      <c r="B8" s="5"/>
      <c r="C8" s="6"/>
      <c r="D8" s="33"/>
      <c r="E8" s="28"/>
      <c r="F8" s="26"/>
      <c r="G8" s="1"/>
      <c r="H8" s="9"/>
      <c r="I8" s="9"/>
      <c r="J8" s="9"/>
      <c r="K8" s="9"/>
      <c r="L8" s="9">
        <f t="shared" si="0"/>
        <v>0</v>
      </c>
      <c r="M8" s="9"/>
      <c r="N8" s="9"/>
      <c r="O8" s="9"/>
      <c r="P8" s="9"/>
      <c r="Q8" s="29"/>
    </row>
    <row r="9" spans="1:17" ht="22.5" customHeight="1" x14ac:dyDescent="0.35">
      <c r="A9" s="7">
        <v>5</v>
      </c>
      <c r="B9" s="8"/>
      <c r="C9" s="6"/>
      <c r="D9" s="33"/>
      <c r="E9" s="28"/>
      <c r="F9" s="26"/>
      <c r="G9" s="1"/>
      <c r="H9" s="1"/>
      <c r="I9" s="1"/>
      <c r="J9" s="1"/>
      <c r="K9" s="1"/>
      <c r="L9" s="9">
        <f t="shared" si="0"/>
        <v>0</v>
      </c>
      <c r="M9" s="9"/>
      <c r="N9" s="9"/>
      <c r="O9" s="9"/>
      <c r="P9" s="9"/>
      <c r="Q9" s="32"/>
    </row>
    <row r="10" spans="1:17" ht="22.5" customHeight="1" x14ac:dyDescent="0.35">
      <c r="A10" s="7">
        <v>6</v>
      </c>
      <c r="B10" s="8"/>
      <c r="C10" s="6"/>
      <c r="D10" s="33"/>
      <c r="E10" s="28"/>
      <c r="F10" s="26"/>
      <c r="G10" s="1"/>
      <c r="H10" s="9"/>
      <c r="I10" s="9"/>
      <c r="J10" s="9"/>
      <c r="K10" s="9"/>
      <c r="L10" s="9">
        <f t="shared" si="0"/>
        <v>0</v>
      </c>
      <c r="M10" s="9"/>
      <c r="N10" s="9"/>
      <c r="O10" s="9"/>
      <c r="P10" s="9"/>
      <c r="Q10" s="29"/>
    </row>
    <row r="11" spans="1:17" ht="22.5" customHeight="1" x14ac:dyDescent="0.35">
      <c r="A11" s="7">
        <v>7</v>
      </c>
      <c r="B11" s="8"/>
      <c r="C11" s="6"/>
      <c r="D11" s="33"/>
      <c r="E11" s="28"/>
      <c r="F11" s="26"/>
      <c r="G11" s="1"/>
      <c r="H11" s="1"/>
      <c r="I11" s="1"/>
      <c r="J11" s="1"/>
      <c r="K11" s="1"/>
      <c r="L11" s="9">
        <f t="shared" si="0"/>
        <v>0</v>
      </c>
      <c r="M11" s="9"/>
      <c r="N11" s="9"/>
      <c r="O11" s="9"/>
      <c r="P11" s="9"/>
      <c r="Q11" s="29"/>
    </row>
    <row r="12" spans="1:17" ht="22.5" customHeight="1" x14ac:dyDescent="0.35">
      <c r="A12" s="7">
        <v>8</v>
      </c>
      <c r="B12" s="8"/>
      <c r="C12" s="6"/>
      <c r="D12" s="33"/>
      <c r="E12" s="28"/>
      <c r="F12" s="26"/>
      <c r="G12" s="1"/>
      <c r="H12" s="9"/>
      <c r="I12" s="9"/>
      <c r="J12" s="9"/>
      <c r="K12" s="9"/>
      <c r="L12" s="9">
        <f t="shared" si="0"/>
        <v>0</v>
      </c>
      <c r="M12" s="9"/>
      <c r="N12" s="9"/>
      <c r="O12" s="9"/>
      <c r="P12" s="9"/>
      <c r="Q12" s="3"/>
    </row>
    <row r="13" spans="1:17" ht="22.5" customHeight="1" x14ac:dyDescent="0.35">
      <c r="A13" s="7">
        <v>9</v>
      </c>
      <c r="B13" s="8"/>
      <c r="C13" s="6"/>
      <c r="D13" s="33"/>
      <c r="E13" s="28"/>
      <c r="F13" s="26"/>
      <c r="G13" s="1"/>
      <c r="H13" s="9"/>
      <c r="I13" s="9"/>
      <c r="J13" s="9"/>
      <c r="K13" s="9"/>
      <c r="L13" s="9">
        <f t="shared" si="0"/>
        <v>0</v>
      </c>
      <c r="M13" s="9"/>
      <c r="N13" s="9"/>
      <c r="O13" s="9"/>
      <c r="P13" s="9"/>
      <c r="Q13" s="29"/>
    </row>
    <row r="14" spans="1:17" ht="22.5" customHeight="1" x14ac:dyDescent="0.35">
      <c r="A14" s="10">
        <v>10</v>
      </c>
      <c r="B14" s="11"/>
      <c r="C14" s="23"/>
      <c r="D14" s="34"/>
      <c r="E14" s="35"/>
      <c r="F14" s="27"/>
      <c r="G14" s="31"/>
      <c r="H14" s="31"/>
      <c r="I14" s="31"/>
      <c r="J14" s="31"/>
      <c r="K14" s="31"/>
      <c r="L14" s="25">
        <f t="shared" si="0"/>
        <v>0</v>
      </c>
      <c r="M14" s="25"/>
      <c r="N14" s="25"/>
      <c r="O14" s="25"/>
      <c r="P14" s="25"/>
      <c r="Q14" s="24"/>
    </row>
    <row r="15" spans="1:17" ht="30" customHeight="1" x14ac:dyDescent="0.35">
      <c r="A15" s="14"/>
      <c r="B15" s="15"/>
      <c r="C15" s="16"/>
      <c r="D15" s="15"/>
      <c r="E15" s="15"/>
      <c r="F15" s="36" t="s">
        <v>272</v>
      </c>
      <c r="G15" s="30">
        <f t="shared" ref="G15:K15" si="1">COUNTIF(G5:G14,"X")</f>
        <v>0</v>
      </c>
      <c r="H15" s="30">
        <f t="shared" si="1"/>
        <v>0</v>
      </c>
      <c r="I15" s="30">
        <f t="shared" si="1"/>
        <v>0</v>
      </c>
      <c r="J15" s="30">
        <f t="shared" si="1"/>
        <v>0</v>
      </c>
      <c r="K15" s="37">
        <f t="shared" si="1"/>
        <v>0</v>
      </c>
      <c r="L15" s="17"/>
      <c r="M15" s="17"/>
      <c r="N15" s="17"/>
      <c r="O15" s="17"/>
      <c r="P15" s="17"/>
      <c r="Q15" s="21"/>
    </row>
    <row r="16" spans="1:17" ht="30" customHeight="1" x14ac:dyDescent="0.35">
      <c r="A16" s="14"/>
      <c r="B16" s="15"/>
      <c r="C16" s="16"/>
      <c r="D16" s="15"/>
      <c r="E16" s="15"/>
      <c r="F16" s="38" t="s">
        <v>273</v>
      </c>
      <c r="G16" s="1">
        <f t="shared" ref="G16:K16" si="2">COUNTIF(G5:G14,"J")</f>
        <v>0</v>
      </c>
      <c r="H16" s="1">
        <f t="shared" si="2"/>
        <v>0</v>
      </c>
      <c r="I16" s="1">
        <f t="shared" si="2"/>
        <v>0</v>
      </c>
      <c r="J16" s="1">
        <f t="shared" si="2"/>
        <v>0</v>
      </c>
      <c r="K16" s="3">
        <f t="shared" si="2"/>
        <v>0</v>
      </c>
      <c r="L16" s="17"/>
      <c r="M16" s="17"/>
      <c r="N16" s="17"/>
      <c r="O16" s="17"/>
      <c r="P16" s="17"/>
      <c r="Q16" s="21"/>
    </row>
    <row r="17" spans="1:17" ht="30" customHeight="1" x14ac:dyDescent="0.35">
      <c r="A17" s="14"/>
      <c r="B17" s="15"/>
      <c r="C17" s="16"/>
      <c r="D17" s="15"/>
      <c r="E17" s="15"/>
      <c r="F17" s="38" t="s">
        <v>274</v>
      </c>
      <c r="G17" s="1">
        <f t="shared" ref="G17:K17" si="3">COUNTIF(G5:G14,"T")</f>
        <v>0</v>
      </c>
      <c r="H17" s="1">
        <f t="shared" si="3"/>
        <v>0</v>
      </c>
      <c r="I17" s="1">
        <f t="shared" si="3"/>
        <v>0</v>
      </c>
      <c r="J17" s="1">
        <f t="shared" si="3"/>
        <v>0</v>
      </c>
      <c r="K17" s="3">
        <f t="shared" si="3"/>
        <v>0</v>
      </c>
      <c r="L17" s="17"/>
      <c r="M17" s="17"/>
      <c r="N17" s="17"/>
      <c r="O17" s="17"/>
      <c r="P17" s="17"/>
      <c r="Q17" s="21"/>
    </row>
    <row r="18" spans="1:17" ht="30" customHeight="1" x14ac:dyDescent="0.35">
      <c r="A18" s="14"/>
      <c r="B18" s="15"/>
      <c r="C18" s="16"/>
      <c r="D18" s="15"/>
      <c r="E18" s="15"/>
      <c r="F18" s="38" t="s">
        <v>275</v>
      </c>
      <c r="G18" s="1">
        <f t="shared" ref="G18:K18" si="4">COUNTIF(G5:G14,"A")</f>
        <v>0</v>
      </c>
      <c r="H18" s="1">
        <f t="shared" si="4"/>
        <v>0</v>
      </c>
      <c r="I18" s="1">
        <f t="shared" si="4"/>
        <v>0</v>
      </c>
      <c r="J18" s="1">
        <f t="shared" si="4"/>
        <v>0</v>
      </c>
      <c r="K18" s="3">
        <f t="shared" si="4"/>
        <v>0</v>
      </c>
      <c r="L18" s="17"/>
      <c r="M18" s="17"/>
      <c r="N18" s="17"/>
      <c r="O18" s="17"/>
      <c r="P18" s="17"/>
      <c r="Q18" s="21"/>
    </row>
    <row r="19" spans="1:17" ht="30" customHeight="1" x14ac:dyDescent="0.35">
      <c r="A19" s="14"/>
      <c r="B19" s="15"/>
      <c r="C19" s="16"/>
      <c r="D19" s="15"/>
      <c r="E19" s="15"/>
      <c r="F19" s="39" t="s">
        <v>276</v>
      </c>
      <c r="G19" s="12">
        <f t="shared" ref="G19:K19" si="5">SUM(G15:G18)</f>
        <v>0</v>
      </c>
      <c r="H19" s="12">
        <f t="shared" si="5"/>
        <v>0</v>
      </c>
      <c r="I19" s="12">
        <f t="shared" si="5"/>
        <v>0</v>
      </c>
      <c r="J19" s="12">
        <f t="shared" si="5"/>
        <v>0</v>
      </c>
      <c r="K19" s="13">
        <f t="shared" si="5"/>
        <v>0</v>
      </c>
      <c r="L19" s="17"/>
      <c r="M19" s="17"/>
      <c r="N19" s="17"/>
      <c r="O19" s="17"/>
      <c r="P19" s="17"/>
      <c r="Q19" s="21"/>
    </row>
    <row r="20" spans="1:17" ht="26.25" customHeight="1" x14ac:dyDescent="0.35">
      <c r="A20" s="18"/>
      <c r="B20" s="19"/>
      <c r="C20" s="20"/>
      <c r="D20" s="21"/>
      <c r="E20" s="21"/>
      <c r="F20" s="21"/>
      <c r="G20" s="21"/>
      <c r="H20" s="21"/>
      <c r="I20" s="21"/>
      <c r="J20" s="21"/>
      <c r="K20" s="21"/>
      <c r="L20" s="15"/>
      <c r="M20" s="15"/>
      <c r="N20" s="15"/>
      <c r="O20" s="15"/>
      <c r="P20" s="15"/>
      <c r="Q20" s="15"/>
    </row>
    <row r="21" spans="1:17" ht="26.25" customHeight="1" x14ac:dyDescent="0.35">
      <c r="A21" s="18"/>
      <c r="B21" s="19"/>
      <c r="C21" s="20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</row>
    <row r="22" spans="1:17" ht="26.25" customHeight="1" x14ac:dyDescent="0.35">
      <c r="A22" s="18"/>
      <c r="B22" s="19"/>
      <c r="C22" s="20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</row>
    <row r="23" spans="1:17" ht="26.25" customHeight="1" x14ac:dyDescent="0.35">
      <c r="A23" s="18"/>
      <c r="B23" s="19"/>
      <c r="C23" s="20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</row>
    <row r="24" spans="1:17" ht="13.5" customHeight="1" x14ac:dyDescent="0.35">
      <c r="A24" s="18"/>
      <c r="B24" s="19"/>
      <c r="C24" s="20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</row>
    <row r="25" spans="1:17" ht="13.5" customHeight="1" x14ac:dyDescent="0.35">
      <c r="A25" s="18"/>
      <c r="B25" s="19"/>
      <c r="C25" s="20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</row>
    <row r="26" spans="1:17" ht="13.5" customHeight="1" x14ac:dyDescent="0.35">
      <c r="A26" s="18"/>
      <c r="B26" s="19"/>
      <c r="C26" s="20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</row>
    <row r="27" spans="1:17" ht="13.5" customHeight="1" x14ac:dyDescent="0.35">
      <c r="A27" s="18"/>
      <c r="B27" s="19"/>
      <c r="C27" s="20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</row>
    <row r="28" spans="1:17" ht="13.5" customHeight="1" x14ac:dyDescent="0.35">
      <c r="A28" s="18"/>
      <c r="B28" s="19"/>
      <c r="C28" s="20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</row>
    <row r="29" spans="1:17" ht="13.5" customHeight="1" x14ac:dyDescent="0.35">
      <c r="A29" s="18"/>
      <c r="B29" s="19"/>
      <c r="C29" s="20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</row>
    <row r="30" spans="1:17" ht="13.5" customHeight="1" x14ac:dyDescent="0.35">
      <c r="A30" s="18"/>
      <c r="B30" s="19"/>
      <c r="C30" s="20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</row>
    <row r="31" spans="1:17" ht="13.5" customHeight="1" x14ac:dyDescent="0.35">
      <c r="A31" s="18"/>
      <c r="B31" s="19"/>
      <c r="C31" s="20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</row>
    <row r="32" spans="1:17" ht="13.5" customHeight="1" x14ac:dyDescent="0.35">
      <c r="A32" s="18"/>
      <c r="B32" s="19"/>
      <c r="C32" s="20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</row>
    <row r="33" spans="1:17" ht="13.5" customHeight="1" x14ac:dyDescent="0.35">
      <c r="A33" s="18"/>
      <c r="B33" s="19"/>
      <c r="C33" s="20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</row>
    <row r="34" spans="1:17" ht="13.5" customHeight="1" x14ac:dyDescent="0.35">
      <c r="A34" s="18"/>
      <c r="B34" s="19"/>
      <c r="C34" s="20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</row>
    <row r="35" spans="1:17" ht="13.5" customHeight="1" x14ac:dyDescent="0.35">
      <c r="A35" s="18"/>
      <c r="B35" s="19"/>
      <c r="C35" s="20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</row>
    <row r="36" spans="1:17" ht="13.5" customHeight="1" x14ac:dyDescent="0.35">
      <c r="A36" s="18"/>
      <c r="B36" s="19"/>
      <c r="C36" s="20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</row>
    <row r="37" spans="1:17" ht="13.5" customHeight="1" x14ac:dyDescent="0.35">
      <c r="A37" s="18"/>
      <c r="B37" s="19"/>
      <c r="C37" s="20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</row>
    <row r="38" spans="1:17" ht="13.5" customHeight="1" x14ac:dyDescent="0.35">
      <c r="A38" s="18"/>
      <c r="B38" s="19"/>
      <c r="C38" s="20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</row>
    <row r="39" spans="1:17" ht="13.5" customHeight="1" x14ac:dyDescent="0.35">
      <c r="A39" s="18"/>
      <c r="B39" s="19"/>
      <c r="C39" s="20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</row>
    <row r="40" spans="1:17" ht="13.5" customHeight="1" x14ac:dyDescent="0.35">
      <c r="A40" s="18"/>
      <c r="B40" s="19"/>
      <c r="C40" s="20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</row>
    <row r="41" spans="1:17" ht="13.5" customHeight="1" x14ac:dyDescent="0.35">
      <c r="A41" s="18"/>
      <c r="B41" s="19"/>
      <c r="C41" s="20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</row>
    <row r="42" spans="1:17" ht="13.5" customHeight="1" x14ac:dyDescent="0.35">
      <c r="A42" s="18"/>
      <c r="B42" s="19"/>
      <c r="C42" s="20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</row>
    <row r="43" spans="1:17" ht="13.5" customHeight="1" x14ac:dyDescent="0.35">
      <c r="A43" s="18"/>
      <c r="B43" s="19"/>
      <c r="C43" s="20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</row>
    <row r="44" spans="1:17" ht="13.5" customHeight="1" x14ac:dyDescent="0.35">
      <c r="A44" s="18"/>
      <c r="B44" s="19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</row>
    <row r="45" spans="1:17" ht="13.5" customHeight="1" x14ac:dyDescent="0.35">
      <c r="A45" s="18"/>
      <c r="B45" s="19"/>
      <c r="C45" s="20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</row>
    <row r="46" spans="1:17" ht="13.5" customHeight="1" x14ac:dyDescent="0.35">
      <c r="A46" s="18"/>
      <c r="B46" s="19"/>
      <c r="C46" s="20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</row>
    <row r="47" spans="1:17" ht="13.5" customHeight="1" x14ac:dyDescent="0.35">
      <c r="A47" s="18"/>
      <c r="B47" s="19"/>
      <c r="C47" s="20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</row>
    <row r="48" spans="1:17" ht="13.5" customHeight="1" x14ac:dyDescent="0.35">
      <c r="A48" s="18"/>
      <c r="B48" s="19"/>
      <c r="C48" s="20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</row>
    <row r="49" spans="1:17" ht="13.5" customHeight="1" x14ac:dyDescent="0.35">
      <c r="A49" s="18"/>
      <c r="B49" s="19"/>
      <c r="C49" s="20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</row>
    <row r="50" spans="1:17" ht="13.5" customHeight="1" x14ac:dyDescent="0.35">
      <c r="A50" s="18"/>
      <c r="B50" s="19"/>
      <c r="C50" s="20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</row>
    <row r="51" spans="1:17" ht="13.5" customHeight="1" x14ac:dyDescent="0.35">
      <c r="A51" s="18"/>
      <c r="B51" s="19"/>
      <c r="C51" s="20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</row>
    <row r="52" spans="1:17" ht="13.5" customHeight="1" x14ac:dyDescent="0.35">
      <c r="A52" s="18"/>
      <c r="B52" s="19"/>
      <c r="C52" s="20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</row>
    <row r="53" spans="1:17" ht="13.5" customHeight="1" x14ac:dyDescent="0.35">
      <c r="A53" s="18"/>
      <c r="B53" s="19"/>
      <c r="C53" s="20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</row>
    <row r="54" spans="1:17" ht="13.5" customHeight="1" x14ac:dyDescent="0.35">
      <c r="A54" s="18"/>
      <c r="B54" s="19"/>
      <c r="C54" s="20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</row>
    <row r="55" spans="1:17" ht="13.5" customHeight="1" x14ac:dyDescent="0.35">
      <c r="A55" s="18"/>
      <c r="B55" s="19"/>
      <c r="C55" s="20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</row>
    <row r="56" spans="1:17" ht="13.5" customHeight="1" x14ac:dyDescent="0.35">
      <c r="A56" s="18"/>
      <c r="B56" s="19"/>
      <c r="C56" s="20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</row>
    <row r="57" spans="1:17" ht="13.5" customHeight="1" x14ac:dyDescent="0.35">
      <c r="A57" s="18"/>
      <c r="B57" s="19"/>
      <c r="C57" s="20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</row>
    <row r="58" spans="1:17" ht="13.5" customHeight="1" x14ac:dyDescent="0.35">
      <c r="A58" s="18"/>
      <c r="B58" s="19"/>
      <c r="C58" s="20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</row>
    <row r="59" spans="1:17" ht="13.5" customHeight="1" x14ac:dyDescent="0.35">
      <c r="A59" s="18"/>
      <c r="B59" s="19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</row>
    <row r="60" spans="1:17" ht="13.5" customHeight="1" x14ac:dyDescent="0.35">
      <c r="A60" s="18"/>
      <c r="B60" s="19"/>
      <c r="C60" s="20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</row>
    <row r="61" spans="1:17" ht="13.5" customHeight="1" x14ac:dyDescent="0.35">
      <c r="A61" s="18"/>
      <c r="B61" s="19"/>
      <c r="C61" s="20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</row>
    <row r="62" spans="1:17" ht="13.5" customHeight="1" x14ac:dyDescent="0.35">
      <c r="A62" s="18"/>
      <c r="B62" s="19"/>
      <c r="C62" s="20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</row>
    <row r="63" spans="1:17" ht="13.5" customHeight="1" x14ac:dyDescent="0.35">
      <c r="A63" s="18"/>
      <c r="B63" s="19"/>
      <c r="C63" s="20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</row>
    <row r="64" spans="1:17" ht="13.5" customHeight="1" x14ac:dyDescent="0.35">
      <c r="A64" s="18"/>
      <c r="B64" s="19"/>
      <c r="C64" s="20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</row>
    <row r="65" spans="1:17" ht="13.5" customHeight="1" x14ac:dyDescent="0.35">
      <c r="A65" s="18"/>
      <c r="B65" s="19"/>
      <c r="C65" s="20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</row>
    <row r="66" spans="1:17" ht="13.5" customHeight="1" x14ac:dyDescent="0.35">
      <c r="A66" s="18"/>
      <c r="B66" s="19"/>
      <c r="C66" s="20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</row>
    <row r="67" spans="1:17" ht="13.5" customHeight="1" x14ac:dyDescent="0.35">
      <c r="A67" s="18"/>
      <c r="B67" s="19"/>
      <c r="C67" s="20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</row>
    <row r="68" spans="1:17" ht="13.5" customHeight="1" x14ac:dyDescent="0.35">
      <c r="A68" s="18"/>
      <c r="B68" s="19"/>
      <c r="C68" s="20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</row>
    <row r="69" spans="1:17" ht="13.5" customHeight="1" x14ac:dyDescent="0.35">
      <c r="A69" s="18"/>
      <c r="B69" s="19"/>
      <c r="C69" s="20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</row>
    <row r="70" spans="1:17" ht="13.5" customHeight="1" x14ac:dyDescent="0.35">
      <c r="A70" s="18"/>
      <c r="B70" s="19"/>
      <c r="C70" s="20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</row>
    <row r="71" spans="1:17" ht="13.5" customHeight="1" x14ac:dyDescent="0.35">
      <c r="A71" s="18"/>
      <c r="B71" s="19"/>
      <c r="C71" s="20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</row>
    <row r="72" spans="1:17" ht="13.5" customHeight="1" x14ac:dyDescent="0.35">
      <c r="A72" s="18"/>
      <c r="B72" s="19"/>
      <c r="C72" s="20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</row>
    <row r="73" spans="1:17" ht="13.5" customHeight="1" x14ac:dyDescent="0.35">
      <c r="A73" s="18"/>
      <c r="B73" s="19"/>
      <c r="C73" s="20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</row>
    <row r="74" spans="1:17" ht="13.5" customHeight="1" x14ac:dyDescent="0.35">
      <c r="A74" s="18"/>
      <c r="B74" s="19"/>
      <c r="C74" s="20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</row>
    <row r="75" spans="1:17" ht="13.5" customHeight="1" x14ac:dyDescent="0.35">
      <c r="A75" s="18"/>
      <c r="B75" s="19"/>
      <c r="C75" s="20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</row>
    <row r="76" spans="1:17" ht="13.5" customHeight="1" x14ac:dyDescent="0.35">
      <c r="A76" s="18"/>
      <c r="B76" s="19"/>
      <c r="C76" s="20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</row>
    <row r="77" spans="1:17" ht="13.5" customHeight="1" x14ac:dyDescent="0.35">
      <c r="A77" s="18"/>
      <c r="B77" s="19"/>
      <c r="C77" s="20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</row>
    <row r="78" spans="1:17" ht="13.5" customHeight="1" x14ac:dyDescent="0.35">
      <c r="A78" s="18"/>
      <c r="B78" s="19"/>
      <c r="C78" s="20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</row>
    <row r="79" spans="1:17" ht="13.5" customHeight="1" x14ac:dyDescent="0.35">
      <c r="A79" s="18"/>
      <c r="B79" s="19"/>
      <c r="C79" s="20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</row>
    <row r="80" spans="1:17" ht="13.5" customHeight="1" x14ac:dyDescent="0.35">
      <c r="A80" s="18"/>
      <c r="B80" s="19"/>
      <c r="C80" s="20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</row>
    <row r="81" spans="1:17" ht="13.5" customHeight="1" x14ac:dyDescent="0.35">
      <c r="A81" s="18"/>
      <c r="B81" s="19"/>
      <c r="C81" s="20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</row>
    <row r="82" spans="1:17" ht="13.5" customHeight="1" x14ac:dyDescent="0.35">
      <c r="A82" s="18"/>
      <c r="B82" s="19"/>
      <c r="C82" s="20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</row>
    <row r="83" spans="1:17" ht="13.5" customHeight="1" x14ac:dyDescent="0.35">
      <c r="A83" s="18"/>
      <c r="B83" s="19"/>
      <c r="C83" s="20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</row>
    <row r="84" spans="1:17" ht="13.5" customHeight="1" x14ac:dyDescent="0.35">
      <c r="A84" s="18"/>
      <c r="B84" s="19"/>
      <c r="C84" s="20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</row>
    <row r="85" spans="1:17" ht="13.5" customHeight="1" x14ac:dyDescent="0.35">
      <c r="A85" s="18"/>
      <c r="B85" s="19"/>
      <c r="C85" s="20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</row>
    <row r="86" spans="1:17" ht="13.5" customHeight="1" x14ac:dyDescent="0.35">
      <c r="A86" s="18"/>
      <c r="B86" s="19"/>
      <c r="C86" s="20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</row>
    <row r="87" spans="1:17" ht="13.5" customHeight="1" x14ac:dyDescent="0.35">
      <c r="A87" s="18"/>
      <c r="B87" s="19"/>
      <c r="C87" s="20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</row>
    <row r="88" spans="1:17" ht="13.5" customHeight="1" x14ac:dyDescent="0.35">
      <c r="A88" s="18"/>
      <c r="B88" s="19"/>
      <c r="C88" s="20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</row>
    <row r="89" spans="1:17" ht="13.5" customHeight="1" x14ac:dyDescent="0.35">
      <c r="A89" s="18"/>
      <c r="B89" s="19"/>
      <c r="C89" s="20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</row>
    <row r="90" spans="1:17" ht="13.5" customHeight="1" x14ac:dyDescent="0.35">
      <c r="A90" s="18"/>
      <c r="B90" s="19"/>
      <c r="C90" s="20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</row>
    <row r="91" spans="1:17" ht="13.5" customHeight="1" x14ac:dyDescent="0.35">
      <c r="A91" s="18"/>
      <c r="B91" s="19"/>
      <c r="C91" s="20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</row>
    <row r="92" spans="1:17" ht="13.5" customHeight="1" x14ac:dyDescent="0.35">
      <c r="A92" s="18"/>
      <c r="B92" s="19"/>
      <c r="C92" s="20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</row>
    <row r="93" spans="1:17" ht="13.5" customHeight="1" x14ac:dyDescent="0.35">
      <c r="A93" s="18"/>
      <c r="B93" s="19"/>
      <c r="C93" s="20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</row>
    <row r="94" spans="1:17" ht="13.5" customHeight="1" x14ac:dyDescent="0.35">
      <c r="A94" s="18"/>
      <c r="B94" s="19"/>
      <c r="C94" s="20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</row>
    <row r="95" spans="1:17" ht="13.5" customHeight="1" x14ac:dyDescent="0.35">
      <c r="A95" s="18"/>
      <c r="B95" s="19"/>
      <c r="C95" s="20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</row>
    <row r="96" spans="1:17" ht="13.5" customHeight="1" x14ac:dyDescent="0.35">
      <c r="A96" s="18"/>
      <c r="B96" s="19"/>
      <c r="C96" s="20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</row>
    <row r="97" spans="1:17" ht="13.5" customHeight="1" x14ac:dyDescent="0.35">
      <c r="A97" s="18"/>
      <c r="B97" s="19"/>
      <c r="C97" s="20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</row>
    <row r="98" spans="1:17" ht="13.5" customHeight="1" x14ac:dyDescent="0.35">
      <c r="A98" s="18"/>
      <c r="B98" s="19"/>
      <c r="C98" s="20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</row>
    <row r="99" spans="1:17" ht="13.5" customHeight="1" x14ac:dyDescent="0.35">
      <c r="A99" s="18"/>
      <c r="B99" s="19"/>
      <c r="C99" s="20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</row>
    <row r="100" spans="1:17" ht="13.5" customHeight="1" x14ac:dyDescent="0.35">
      <c r="A100" s="18"/>
      <c r="B100" s="19"/>
      <c r="C100" s="20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</row>
    <row r="101" spans="1:17" ht="13.5" customHeight="1" x14ac:dyDescent="0.35">
      <c r="A101" s="18"/>
      <c r="B101" s="19"/>
      <c r="C101" s="20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</row>
    <row r="102" spans="1:17" ht="13.5" customHeight="1" x14ac:dyDescent="0.35">
      <c r="A102" s="18"/>
      <c r="B102" s="19"/>
      <c r="C102" s="20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</row>
    <row r="103" spans="1:17" ht="13.5" customHeight="1" x14ac:dyDescent="0.35">
      <c r="A103" s="18"/>
      <c r="B103" s="19"/>
      <c r="C103" s="20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</row>
    <row r="104" spans="1:17" ht="13.5" customHeight="1" x14ac:dyDescent="0.35">
      <c r="A104" s="18"/>
      <c r="B104" s="19"/>
      <c r="C104" s="20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</row>
    <row r="105" spans="1:17" ht="13.5" customHeight="1" x14ac:dyDescent="0.35">
      <c r="A105" s="18"/>
      <c r="B105" s="19"/>
      <c r="C105" s="20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</row>
    <row r="106" spans="1:17" ht="13.5" customHeight="1" x14ac:dyDescent="0.35">
      <c r="A106" s="18"/>
      <c r="B106" s="19"/>
      <c r="C106" s="20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</row>
    <row r="107" spans="1:17" ht="13.5" customHeight="1" x14ac:dyDescent="0.35">
      <c r="A107" s="18"/>
      <c r="B107" s="19"/>
      <c r="C107" s="20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</row>
    <row r="108" spans="1:17" ht="13.5" customHeight="1" x14ac:dyDescent="0.35">
      <c r="A108" s="18"/>
      <c r="B108" s="19"/>
      <c r="C108" s="20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</row>
    <row r="109" spans="1:17" ht="13.5" customHeight="1" x14ac:dyDescent="0.35">
      <c r="A109" s="18"/>
      <c r="B109" s="19"/>
      <c r="C109" s="20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</row>
    <row r="110" spans="1:17" ht="13.5" customHeight="1" x14ac:dyDescent="0.35">
      <c r="A110" s="18"/>
      <c r="B110" s="19"/>
      <c r="C110" s="20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</row>
    <row r="111" spans="1:17" ht="13.5" customHeight="1" x14ac:dyDescent="0.35">
      <c r="A111" s="18"/>
      <c r="B111" s="19"/>
      <c r="C111" s="20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</row>
    <row r="112" spans="1:17" ht="13.5" customHeight="1" x14ac:dyDescent="0.35">
      <c r="A112" s="18"/>
      <c r="B112" s="19"/>
      <c r="C112" s="20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</row>
    <row r="113" spans="1:17" ht="13.5" customHeight="1" x14ac:dyDescent="0.35">
      <c r="A113" s="18"/>
      <c r="B113" s="19"/>
      <c r="C113" s="20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</row>
    <row r="114" spans="1:17" ht="13.5" customHeight="1" x14ac:dyDescent="0.35">
      <c r="A114" s="18"/>
      <c r="B114" s="19"/>
      <c r="C114" s="20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</row>
    <row r="115" spans="1:17" ht="15.75" customHeight="1" x14ac:dyDescent="0.35">
      <c r="A115" s="21"/>
      <c r="B115" s="19"/>
      <c r="C115" s="20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</row>
    <row r="116" spans="1:17" ht="15.75" customHeight="1" x14ac:dyDescent="0.35">
      <c r="A116" s="21"/>
      <c r="B116" s="19"/>
      <c r="C116" s="20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</row>
    <row r="117" spans="1:17" ht="15.75" customHeight="1" x14ac:dyDescent="0.35">
      <c r="A117" s="21"/>
      <c r="B117" s="19"/>
      <c r="C117" s="20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</row>
    <row r="118" spans="1:17" ht="15.75" customHeight="1" x14ac:dyDescent="0.35">
      <c r="A118" s="21"/>
      <c r="B118" s="19"/>
      <c r="C118" s="20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</row>
    <row r="119" spans="1:17" ht="15.75" customHeight="1" x14ac:dyDescent="0.35">
      <c r="A119" s="21"/>
      <c r="B119" s="19"/>
      <c r="C119" s="20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</row>
    <row r="120" spans="1:17" ht="15.75" customHeight="1" x14ac:dyDescent="0.35">
      <c r="A120" s="21"/>
      <c r="B120" s="19"/>
      <c r="C120" s="20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</row>
    <row r="121" spans="1:17" ht="15.75" customHeight="1" x14ac:dyDescent="0.35">
      <c r="A121" s="21"/>
      <c r="B121" s="19"/>
      <c r="C121" s="20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</row>
    <row r="122" spans="1:17" ht="15.75" customHeight="1" x14ac:dyDescent="0.35">
      <c r="A122" s="21"/>
      <c r="B122" s="19"/>
      <c r="C122" s="20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</row>
    <row r="123" spans="1:17" ht="15.75" customHeight="1" x14ac:dyDescent="0.35">
      <c r="A123" s="21"/>
      <c r="B123" s="19"/>
      <c r="C123" s="20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</row>
    <row r="124" spans="1:17" ht="15.75" customHeight="1" x14ac:dyDescent="0.35">
      <c r="A124" s="21"/>
      <c r="B124" s="19"/>
      <c r="C124" s="20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</row>
    <row r="125" spans="1:17" ht="15.75" customHeight="1" x14ac:dyDescent="0.35">
      <c r="A125" s="21"/>
      <c r="B125" s="19"/>
      <c r="C125" s="20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</row>
    <row r="126" spans="1:17" ht="15.75" customHeight="1" x14ac:dyDescent="0.35">
      <c r="A126" s="21"/>
      <c r="B126" s="19"/>
      <c r="C126" s="20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</row>
    <row r="127" spans="1:17" ht="15.75" customHeight="1" x14ac:dyDescent="0.35">
      <c r="A127" s="21"/>
      <c r="B127" s="19"/>
      <c r="C127" s="20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</row>
    <row r="128" spans="1:17" ht="15.75" customHeight="1" x14ac:dyDescent="0.35">
      <c r="A128" s="21"/>
      <c r="B128" s="19"/>
      <c r="C128" s="20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</row>
    <row r="129" spans="1:17" ht="15.75" customHeight="1" x14ac:dyDescent="0.35">
      <c r="A129" s="21"/>
      <c r="B129" s="19"/>
      <c r="C129" s="20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</row>
    <row r="130" spans="1:17" ht="15.75" customHeight="1" x14ac:dyDescent="0.35">
      <c r="A130" s="21"/>
      <c r="B130" s="19"/>
      <c r="C130" s="20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</row>
    <row r="131" spans="1:17" ht="15.75" customHeight="1" x14ac:dyDescent="0.35">
      <c r="A131" s="21"/>
      <c r="B131" s="19"/>
      <c r="C131" s="20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</row>
    <row r="132" spans="1:17" ht="15.75" customHeight="1" x14ac:dyDescent="0.35">
      <c r="A132" s="21"/>
      <c r="B132" s="19"/>
      <c r="C132" s="20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</row>
    <row r="133" spans="1:17" ht="15.75" customHeight="1" x14ac:dyDescent="0.35">
      <c r="A133" s="21"/>
      <c r="B133" s="19"/>
      <c r="C133" s="20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</row>
    <row r="134" spans="1:17" ht="15.75" customHeight="1" x14ac:dyDescent="0.35">
      <c r="A134" s="21"/>
      <c r="B134" s="19"/>
      <c r="C134" s="20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</row>
    <row r="135" spans="1:17" ht="15.75" customHeight="1" x14ac:dyDescent="0.35">
      <c r="A135" s="21"/>
      <c r="B135" s="19"/>
      <c r="C135" s="20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</row>
    <row r="136" spans="1:17" ht="15.75" customHeight="1" x14ac:dyDescent="0.35">
      <c r="A136" s="21"/>
      <c r="B136" s="19"/>
      <c r="C136" s="20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</row>
    <row r="137" spans="1:17" ht="15.75" customHeight="1" x14ac:dyDescent="0.35">
      <c r="A137" s="21"/>
      <c r="B137" s="19"/>
      <c r="C137" s="20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</row>
    <row r="138" spans="1:17" ht="15.75" customHeight="1" x14ac:dyDescent="0.35">
      <c r="A138" s="21"/>
      <c r="B138" s="19"/>
      <c r="C138" s="20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</row>
    <row r="139" spans="1:17" ht="15.75" customHeight="1" x14ac:dyDescent="0.35">
      <c r="A139" s="21"/>
      <c r="B139" s="19"/>
      <c r="C139" s="20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</row>
    <row r="140" spans="1:17" ht="15.75" customHeight="1" x14ac:dyDescent="0.35">
      <c r="A140" s="21"/>
      <c r="B140" s="19"/>
      <c r="C140" s="20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</row>
    <row r="141" spans="1:17" ht="15.75" customHeight="1" x14ac:dyDescent="0.35">
      <c r="A141" s="21"/>
      <c r="B141" s="19"/>
      <c r="C141" s="20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</row>
    <row r="142" spans="1:17" ht="15.75" customHeight="1" x14ac:dyDescent="0.35">
      <c r="A142" s="21"/>
      <c r="B142" s="19"/>
      <c r="C142" s="20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</row>
    <row r="143" spans="1:17" ht="15.75" customHeight="1" x14ac:dyDescent="0.35">
      <c r="A143" s="21"/>
      <c r="B143" s="19"/>
      <c r="C143" s="20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</row>
    <row r="144" spans="1:17" ht="15.75" customHeight="1" x14ac:dyDescent="0.35">
      <c r="A144" s="21"/>
      <c r="B144" s="19"/>
      <c r="C144" s="20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</row>
    <row r="145" spans="1:17" ht="15.75" customHeight="1" x14ac:dyDescent="0.35">
      <c r="A145" s="21"/>
      <c r="B145" s="19"/>
      <c r="C145" s="20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</row>
    <row r="146" spans="1:17" ht="15.75" customHeight="1" x14ac:dyDescent="0.35">
      <c r="A146" s="21"/>
      <c r="B146" s="19"/>
      <c r="C146" s="20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</row>
    <row r="147" spans="1:17" ht="15.75" customHeight="1" x14ac:dyDescent="0.35">
      <c r="A147" s="21"/>
      <c r="B147" s="19"/>
      <c r="C147" s="20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</row>
    <row r="148" spans="1:17" ht="15.75" customHeight="1" x14ac:dyDescent="0.35">
      <c r="A148" s="21"/>
      <c r="B148" s="19"/>
      <c r="C148" s="20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</row>
    <row r="149" spans="1:17" ht="15.75" customHeight="1" x14ac:dyDescent="0.35">
      <c r="A149" s="21"/>
      <c r="B149" s="19"/>
      <c r="C149" s="20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</row>
    <row r="150" spans="1:17" ht="15.75" customHeight="1" x14ac:dyDescent="0.35">
      <c r="A150" s="21"/>
      <c r="B150" s="19"/>
      <c r="C150" s="20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</row>
    <row r="151" spans="1:17" ht="15.75" customHeight="1" x14ac:dyDescent="0.35">
      <c r="A151" s="21"/>
      <c r="B151" s="19"/>
      <c r="C151" s="20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</row>
    <row r="152" spans="1:17" ht="15.75" customHeight="1" x14ac:dyDescent="0.35">
      <c r="A152" s="21"/>
      <c r="B152" s="19"/>
      <c r="C152" s="20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</row>
    <row r="153" spans="1:17" ht="15.75" customHeight="1" x14ac:dyDescent="0.35">
      <c r="A153" s="21"/>
      <c r="B153" s="19"/>
      <c r="C153" s="20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</row>
    <row r="154" spans="1:17" ht="15.75" customHeight="1" x14ac:dyDescent="0.35">
      <c r="A154" s="21"/>
      <c r="B154" s="19"/>
      <c r="C154" s="20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</row>
    <row r="155" spans="1:17" ht="15.75" customHeight="1" x14ac:dyDescent="0.35">
      <c r="A155" s="21"/>
      <c r="B155" s="19"/>
      <c r="C155" s="20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</row>
    <row r="156" spans="1:17" ht="15.75" customHeight="1" x14ac:dyDescent="0.35">
      <c r="A156" s="21"/>
      <c r="B156" s="19"/>
      <c r="C156" s="20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</row>
    <row r="157" spans="1:17" ht="15.75" customHeight="1" x14ac:dyDescent="0.35">
      <c r="A157" s="21"/>
      <c r="B157" s="19"/>
      <c r="C157" s="20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</row>
    <row r="158" spans="1:17" ht="15.75" customHeight="1" x14ac:dyDescent="0.35">
      <c r="A158" s="21"/>
      <c r="B158" s="19"/>
      <c r="C158" s="20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</row>
    <row r="159" spans="1:17" ht="15.75" customHeight="1" x14ac:dyDescent="0.35">
      <c r="A159" s="21"/>
      <c r="B159" s="19"/>
      <c r="C159" s="20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</row>
    <row r="160" spans="1:17" ht="15.75" customHeight="1" x14ac:dyDescent="0.35">
      <c r="A160" s="21"/>
      <c r="B160" s="19"/>
      <c r="C160" s="20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</row>
    <row r="161" spans="1:17" ht="15.75" customHeight="1" x14ac:dyDescent="0.35">
      <c r="A161" s="21"/>
      <c r="B161" s="19"/>
      <c r="C161" s="20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</row>
    <row r="162" spans="1:17" ht="15.75" customHeight="1" x14ac:dyDescent="0.35">
      <c r="A162" s="21"/>
      <c r="B162" s="19"/>
      <c r="C162" s="20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</row>
    <row r="163" spans="1:17" ht="15.75" customHeight="1" x14ac:dyDescent="0.35">
      <c r="A163" s="21"/>
      <c r="B163" s="19"/>
      <c r="C163" s="20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</row>
    <row r="164" spans="1:17" ht="15.75" customHeight="1" x14ac:dyDescent="0.35">
      <c r="A164" s="21"/>
      <c r="B164" s="19"/>
      <c r="C164" s="20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</row>
    <row r="165" spans="1:17" ht="15.75" customHeight="1" x14ac:dyDescent="0.35">
      <c r="A165" s="21"/>
      <c r="B165" s="19"/>
      <c r="C165" s="20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</row>
    <row r="166" spans="1:17" ht="15.75" customHeight="1" x14ac:dyDescent="0.35">
      <c r="A166" s="21"/>
      <c r="B166" s="19"/>
      <c r="C166" s="20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</row>
    <row r="167" spans="1:17" ht="15.75" customHeight="1" x14ac:dyDescent="0.35">
      <c r="A167" s="21"/>
      <c r="B167" s="19"/>
      <c r="C167" s="20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</row>
    <row r="168" spans="1:17" ht="15.75" customHeight="1" x14ac:dyDescent="0.35">
      <c r="A168" s="21"/>
      <c r="B168" s="19"/>
      <c r="C168" s="20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</row>
    <row r="169" spans="1:17" ht="15.75" customHeight="1" x14ac:dyDescent="0.35">
      <c r="A169" s="21"/>
      <c r="B169" s="19"/>
      <c r="C169" s="20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</row>
    <row r="170" spans="1:17" ht="15.75" customHeight="1" x14ac:dyDescent="0.35">
      <c r="A170" s="21"/>
      <c r="B170" s="19"/>
      <c r="C170" s="20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</row>
    <row r="171" spans="1:17" ht="15.75" customHeight="1" x14ac:dyDescent="0.35">
      <c r="A171" s="21"/>
      <c r="B171" s="19"/>
      <c r="C171" s="20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</row>
    <row r="172" spans="1:17" ht="15.75" customHeight="1" x14ac:dyDescent="0.35">
      <c r="A172" s="21"/>
      <c r="B172" s="19"/>
      <c r="C172" s="20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</row>
    <row r="173" spans="1:17" ht="15.75" customHeight="1" x14ac:dyDescent="0.35">
      <c r="A173" s="21"/>
      <c r="B173" s="19"/>
      <c r="C173" s="20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</row>
    <row r="174" spans="1:17" ht="15.75" customHeight="1" x14ac:dyDescent="0.35">
      <c r="A174" s="21"/>
      <c r="B174" s="19"/>
      <c r="C174" s="20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</row>
    <row r="175" spans="1:17" ht="15.75" customHeight="1" x14ac:dyDescent="0.35">
      <c r="A175" s="21"/>
      <c r="B175" s="19"/>
      <c r="C175" s="20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</row>
    <row r="176" spans="1:17" ht="15.75" customHeight="1" x14ac:dyDescent="0.35">
      <c r="A176" s="21"/>
      <c r="B176" s="19"/>
      <c r="C176" s="20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</row>
    <row r="177" spans="1:17" ht="15.75" customHeight="1" x14ac:dyDescent="0.35">
      <c r="A177" s="21"/>
      <c r="B177" s="19"/>
      <c r="C177" s="20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</row>
    <row r="178" spans="1:17" ht="15.75" customHeight="1" x14ac:dyDescent="0.35">
      <c r="A178" s="21"/>
      <c r="B178" s="19"/>
      <c r="C178" s="20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</row>
    <row r="179" spans="1:17" ht="15.75" customHeight="1" x14ac:dyDescent="0.35">
      <c r="A179" s="21"/>
      <c r="B179" s="19"/>
      <c r="C179" s="20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</row>
    <row r="180" spans="1:17" ht="15.75" customHeight="1" x14ac:dyDescent="0.35">
      <c r="A180" s="21"/>
      <c r="B180" s="19"/>
      <c r="C180" s="20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</row>
    <row r="181" spans="1:17" ht="15.75" customHeight="1" x14ac:dyDescent="0.35">
      <c r="A181" s="21"/>
      <c r="B181" s="19"/>
      <c r="C181" s="20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</row>
    <row r="182" spans="1:17" ht="15.75" customHeight="1" x14ac:dyDescent="0.35">
      <c r="A182" s="21"/>
      <c r="B182" s="19"/>
      <c r="C182" s="20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</row>
    <row r="183" spans="1:17" ht="15.75" customHeight="1" x14ac:dyDescent="0.35">
      <c r="A183" s="21"/>
      <c r="B183" s="19"/>
      <c r="C183" s="20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</row>
    <row r="184" spans="1:17" ht="15.75" customHeight="1" x14ac:dyDescent="0.35">
      <c r="A184" s="21"/>
      <c r="B184" s="19"/>
      <c r="C184" s="20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</row>
    <row r="185" spans="1:17" ht="15.75" customHeight="1" x14ac:dyDescent="0.35">
      <c r="A185" s="21"/>
      <c r="B185" s="19"/>
      <c r="C185" s="20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</row>
    <row r="186" spans="1:17" ht="15.75" customHeight="1" x14ac:dyDescent="0.35">
      <c r="A186" s="21"/>
      <c r="B186" s="19"/>
      <c r="C186" s="20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</row>
    <row r="187" spans="1:17" ht="15.75" customHeight="1" x14ac:dyDescent="0.35">
      <c r="A187" s="21"/>
      <c r="B187" s="19"/>
      <c r="C187" s="20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</row>
    <row r="188" spans="1:17" ht="15.75" customHeight="1" x14ac:dyDescent="0.35">
      <c r="A188" s="21"/>
      <c r="B188" s="19"/>
      <c r="C188" s="20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</row>
    <row r="189" spans="1:17" ht="15.75" customHeight="1" x14ac:dyDescent="0.35">
      <c r="A189" s="21"/>
      <c r="B189" s="19"/>
      <c r="C189" s="20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</row>
    <row r="190" spans="1:17" ht="15.75" customHeight="1" x14ac:dyDescent="0.35">
      <c r="A190" s="21"/>
      <c r="B190" s="19"/>
      <c r="C190" s="20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</row>
    <row r="191" spans="1:17" ht="15.75" customHeight="1" x14ac:dyDescent="0.35">
      <c r="A191" s="21"/>
      <c r="B191" s="19"/>
      <c r="C191" s="20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</row>
    <row r="192" spans="1:17" ht="15.75" customHeight="1" x14ac:dyDescent="0.35">
      <c r="A192" s="21"/>
      <c r="B192" s="19"/>
      <c r="C192" s="20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</row>
    <row r="193" spans="1:17" ht="15.75" customHeight="1" x14ac:dyDescent="0.35">
      <c r="A193" s="21"/>
      <c r="B193" s="19"/>
      <c r="C193" s="20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</row>
    <row r="194" spans="1:17" ht="15.75" customHeight="1" x14ac:dyDescent="0.35">
      <c r="A194" s="21"/>
      <c r="B194" s="19"/>
      <c r="C194" s="20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</row>
    <row r="195" spans="1:17" ht="15.75" customHeight="1" x14ac:dyDescent="0.35">
      <c r="A195" s="21"/>
      <c r="B195" s="19"/>
      <c r="C195" s="20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</row>
    <row r="196" spans="1:17" ht="15.75" customHeight="1" x14ac:dyDescent="0.35">
      <c r="A196" s="21"/>
      <c r="B196" s="19"/>
      <c r="C196" s="20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</row>
    <row r="197" spans="1:17" ht="15.75" customHeight="1" x14ac:dyDescent="0.35">
      <c r="A197" s="21"/>
      <c r="B197" s="19"/>
      <c r="C197" s="20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</row>
    <row r="198" spans="1:17" ht="15.75" customHeight="1" x14ac:dyDescent="0.35">
      <c r="A198" s="21"/>
      <c r="B198" s="19"/>
      <c r="C198" s="20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</row>
    <row r="199" spans="1:17" ht="15.75" customHeight="1" x14ac:dyDescent="0.35">
      <c r="A199" s="21"/>
      <c r="B199" s="19"/>
      <c r="C199" s="20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</row>
    <row r="200" spans="1:17" ht="15.75" customHeight="1" x14ac:dyDescent="0.35">
      <c r="A200" s="21"/>
      <c r="B200" s="19"/>
      <c r="C200" s="20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</row>
    <row r="201" spans="1:17" ht="15.75" customHeight="1" x14ac:dyDescent="0.35">
      <c r="A201" s="21"/>
      <c r="B201" s="19"/>
      <c r="C201" s="20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</row>
    <row r="202" spans="1:17" ht="15.75" customHeight="1" x14ac:dyDescent="0.35">
      <c r="A202" s="21"/>
      <c r="B202" s="19"/>
      <c r="C202" s="20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</row>
    <row r="203" spans="1:17" ht="15.75" customHeight="1" x14ac:dyDescent="0.35">
      <c r="A203" s="21"/>
      <c r="B203" s="19"/>
      <c r="C203" s="20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</row>
    <row r="204" spans="1:17" ht="15.75" customHeight="1" x14ac:dyDescent="0.35">
      <c r="A204" s="21"/>
      <c r="B204" s="19"/>
      <c r="C204" s="20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</row>
    <row r="205" spans="1:17" ht="15.75" customHeight="1" x14ac:dyDescent="0.35">
      <c r="A205" s="21"/>
      <c r="B205" s="19"/>
      <c r="C205" s="20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</row>
    <row r="206" spans="1:17" ht="15.75" customHeight="1" x14ac:dyDescent="0.35">
      <c r="A206" s="21"/>
      <c r="B206" s="19"/>
      <c r="C206" s="20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</row>
    <row r="207" spans="1:17" ht="15.75" customHeight="1" x14ac:dyDescent="0.35">
      <c r="A207" s="21"/>
      <c r="B207" s="19"/>
      <c r="C207" s="20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</row>
    <row r="208" spans="1:17" ht="15.75" customHeight="1" x14ac:dyDescent="0.35">
      <c r="A208" s="21"/>
      <c r="B208" s="19"/>
      <c r="C208" s="20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</row>
    <row r="209" spans="1:17" ht="15.75" customHeight="1" x14ac:dyDescent="0.35">
      <c r="A209" s="21"/>
      <c r="B209" s="19"/>
      <c r="C209" s="20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</row>
    <row r="210" spans="1:17" ht="15.75" customHeight="1" x14ac:dyDescent="0.35">
      <c r="A210" s="21"/>
      <c r="B210" s="19"/>
      <c r="C210" s="20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</row>
    <row r="211" spans="1:17" ht="15.75" customHeight="1" x14ac:dyDescent="0.35">
      <c r="A211" s="21"/>
      <c r="B211" s="19"/>
      <c r="C211" s="20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</row>
    <row r="212" spans="1:17" ht="15.75" customHeight="1" x14ac:dyDescent="0.35">
      <c r="A212" s="21"/>
      <c r="B212" s="19"/>
      <c r="C212" s="20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</row>
    <row r="213" spans="1:17" ht="15.75" customHeight="1" x14ac:dyDescent="0.35">
      <c r="A213" s="21"/>
      <c r="B213" s="19"/>
      <c r="C213" s="20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</row>
    <row r="214" spans="1:17" ht="15.75" customHeight="1" x14ac:dyDescent="0.35">
      <c r="A214" s="21"/>
      <c r="B214" s="19"/>
      <c r="C214" s="20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</row>
    <row r="215" spans="1:17" ht="15.75" customHeight="1" x14ac:dyDescent="0.35">
      <c r="A215" s="21"/>
      <c r="B215" s="19"/>
      <c r="C215" s="20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</row>
    <row r="216" spans="1:17" ht="15.75" customHeight="1" x14ac:dyDescent="0.35">
      <c r="A216" s="21"/>
      <c r="B216" s="19"/>
      <c r="C216" s="20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</row>
    <row r="217" spans="1:17" ht="15.75" customHeight="1" x14ac:dyDescent="0.35">
      <c r="A217" s="21"/>
      <c r="B217" s="19"/>
      <c r="C217" s="20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</row>
    <row r="218" spans="1:17" ht="15.75" customHeight="1" x14ac:dyDescent="0.35">
      <c r="A218" s="21"/>
      <c r="B218" s="19"/>
      <c r="C218" s="20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</row>
    <row r="219" spans="1:17" ht="15.75" customHeight="1" x14ac:dyDescent="0.35">
      <c r="A219" s="21"/>
      <c r="B219" s="19"/>
      <c r="C219" s="20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</row>
    <row r="220" spans="1:17" ht="15.75" customHeight="1" x14ac:dyDescent="0.35">
      <c r="A220" s="21"/>
      <c r="B220" s="19"/>
      <c r="C220" s="20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</row>
    <row r="221" spans="1:17" ht="15.75" customHeight="1" x14ac:dyDescent="0.35">
      <c r="A221" s="21"/>
      <c r="B221" s="19"/>
      <c r="C221" s="20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</row>
    <row r="222" spans="1:17" ht="15.75" customHeight="1" x14ac:dyDescent="0.35">
      <c r="A222" s="21"/>
      <c r="B222" s="19"/>
      <c r="C222" s="20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</row>
    <row r="223" spans="1:17" ht="15.75" customHeight="1" x14ac:dyDescent="0.35">
      <c r="A223" s="21"/>
      <c r="B223" s="19"/>
      <c r="C223" s="20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</row>
    <row r="224" spans="1:17" ht="15.75" customHeight="1" x14ac:dyDescent="0.35">
      <c r="A224" s="21"/>
      <c r="B224" s="19"/>
      <c r="C224" s="20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</row>
    <row r="225" spans="1:17" ht="15.75" customHeight="1" x14ac:dyDescent="0.35">
      <c r="A225" s="21"/>
      <c r="B225" s="19"/>
      <c r="C225" s="20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</row>
    <row r="226" spans="1:17" ht="15.75" customHeight="1" x14ac:dyDescent="0.35">
      <c r="A226" s="21"/>
      <c r="B226" s="19"/>
      <c r="C226" s="20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</row>
    <row r="227" spans="1:17" ht="15.75" customHeight="1" x14ac:dyDescent="0.35">
      <c r="A227" s="21"/>
      <c r="B227" s="19"/>
      <c r="C227" s="20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</row>
    <row r="228" spans="1:17" ht="15.75" customHeight="1" x14ac:dyDescent="0.35">
      <c r="A228" s="21"/>
      <c r="B228" s="19"/>
      <c r="C228" s="20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</row>
    <row r="229" spans="1:17" ht="15.75" customHeight="1" x14ac:dyDescent="0.35">
      <c r="A229" s="21"/>
      <c r="B229" s="19"/>
      <c r="C229" s="20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</row>
    <row r="230" spans="1:17" ht="15.75" customHeight="1" x14ac:dyDescent="0.35">
      <c r="A230" s="21"/>
      <c r="B230" s="19"/>
      <c r="C230" s="20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</row>
    <row r="231" spans="1:17" ht="15.75" customHeight="1" x14ac:dyDescent="0.35">
      <c r="A231" s="21"/>
      <c r="B231" s="19"/>
      <c r="C231" s="20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</row>
    <row r="232" spans="1:17" ht="15.75" customHeight="1" x14ac:dyDescent="0.35">
      <c r="A232" s="21"/>
      <c r="B232" s="19"/>
      <c r="C232" s="20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</row>
    <row r="233" spans="1:17" ht="15.75" customHeight="1" x14ac:dyDescent="0.35">
      <c r="A233" s="21"/>
      <c r="B233" s="19"/>
      <c r="C233" s="20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</row>
    <row r="234" spans="1:17" ht="15.75" customHeight="1" x14ac:dyDescent="0.35">
      <c r="A234" s="21"/>
      <c r="B234" s="19"/>
      <c r="C234" s="20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</row>
    <row r="235" spans="1:17" ht="15.75" customHeight="1" x14ac:dyDescent="0.35">
      <c r="A235" s="21"/>
      <c r="B235" s="19"/>
      <c r="C235" s="20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</row>
    <row r="236" spans="1:17" ht="15.75" customHeight="1" x14ac:dyDescent="0.35">
      <c r="A236" s="21"/>
      <c r="B236" s="19"/>
      <c r="C236" s="20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</row>
    <row r="237" spans="1:17" ht="15.75" customHeight="1" x14ac:dyDescent="0.35">
      <c r="A237" s="21"/>
      <c r="B237" s="19"/>
      <c r="C237" s="20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</row>
    <row r="238" spans="1:17" ht="15.75" customHeight="1" x14ac:dyDescent="0.35">
      <c r="A238" s="21"/>
      <c r="B238" s="19"/>
      <c r="C238" s="20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</row>
    <row r="239" spans="1:17" ht="15.75" customHeight="1" x14ac:dyDescent="0.35">
      <c r="A239" s="21"/>
      <c r="B239" s="19"/>
      <c r="C239" s="20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</row>
    <row r="240" spans="1:17" ht="15.75" customHeight="1" x14ac:dyDescent="0.35">
      <c r="A240" s="21"/>
      <c r="B240" s="19"/>
      <c r="C240" s="20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</row>
    <row r="241" spans="1:17" ht="15.75" customHeight="1" x14ac:dyDescent="0.35">
      <c r="A241" s="21"/>
      <c r="B241" s="19"/>
      <c r="C241" s="20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</row>
    <row r="242" spans="1:17" ht="15.75" customHeight="1" x14ac:dyDescent="0.35">
      <c r="A242" s="21"/>
      <c r="B242" s="19"/>
      <c r="C242" s="20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</row>
    <row r="243" spans="1:17" ht="15.75" customHeight="1" x14ac:dyDescent="0.35">
      <c r="A243" s="21"/>
      <c r="B243" s="19"/>
      <c r="C243" s="20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</row>
    <row r="244" spans="1:17" ht="15.75" customHeight="1" x14ac:dyDescent="0.35">
      <c r="A244" s="21"/>
      <c r="B244" s="19"/>
      <c r="C244" s="20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</row>
    <row r="245" spans="1:17" ht="15.75" customHeight="1" x14ac:dyDescent="0.35">
      <c r="A245" s="21"/>
      <c r="B245" s="19"/>
      <c r="C245" s="20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</row>
    <row r="246" spans="1:17" ht="15.75" customHeight="1" x14ac:dyDescent="0.35">
      <c r="A246" s="21"/>
      <c r="B246" s="19"/>
      <c r="C246" s="20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</row>
    <row r="247" spans="1:17" ht="15.75" customHeight="1" x14ac:dyDescent="0.35">
      <c r="A247" s="21"/>
      <c r="B247" s="19"/>
      <c r="C247" s="20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</row>
    <row r="248" spans="1:17" ht="15.75" customHeight="1" x14ac:dyDescent="0.35">
      <c r="A248" s="21"/>
      <c r="B248" s="19"/>
      <c r="C248" s="20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</row>
    <row r="249" spans="1:17" ht="15.75" customHeight="1" x14ac:dyDescent="0.35">
      <c r="A249" s="21"/>
      <c r="B249" s="19"/>
      <c r="C249" s="20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</row>
    <row r="250" spans="1:17" ht="15.75" customHeight="1" x14ac:dyDescent="0.35">
      <c r="A250" s="21"/>
      <c r="B250" s="19"/>
      <c r="C250" s="20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</row>
    <row r="251" spans="1:17" ht="15.75" customHeight="1" x14ac:dyDescent="0.35">
      <c r="A251" s="21"/>
      <c r="B251" s="19"/>
      <c r="C251" s="20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</row>
    <row r="252" spans="1:17" ht="15.75" customHeight="1" x14ac:dyDescent="0.35">
      <c r="A252" s="21"/>
      <c r="B252" s="19"/>
      <c r="C252" s="20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</row>
    <row r="253" spans="1:17" ht="15.75" customHeight="1" x14ac:dyDescent="0.35">
      <c r="A253" s="21"/>
      <c r="B253" s="19"/>
      <c r="C253" s="20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</row>
    <row r="254" spans="1:17" ht="15.75" customHeight="1" x14ac:dyDescent="0.35">
      <c r="A254" s="21"/>
      <c r="B254" s="19"/>
      <c r="C254" s="20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</row>
    <row r="255" spans="1:17" ht="15.75" customHeight="1" x14ac:dyDescent="0.35">
      <c r="A255" s="21"/>
      <c r="B255" s="19"/>
      <c r="C255" s="20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</row>
    <row r="256" spans="1:17" ht="15.75" customHeight="1" x14ac:dyDescent="0.35">
      <c r="A256" s="21"/>
      <c r="B256" s="19"/>
      <c r="C256" s="20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</row>
    <row r="257" spans="1:17" ht="15.75" customHeight="1" x14ac:dyDescent="0.35">
      <c r="A257" s="21"/>
      <c r="B257" s="19"/>
      <c r="C257" s="20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</row>
    <row r="258" spans="1:17" ht="15.75" customHeight="1" x14ac:dyDescent="0.35">
      <c r="A258" s="21"/>
      <c r="B258" s="19"/>
      <c r="C258" s="20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</row>
    <row r="259" spans="1:17" ht="15.75" customHeight="1" x14ac:dyDescent="0.35">
      <c r="A259" s="21"/>
      <c r="B259" s="19"/>
      <c r="C259" s="20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</row>
    <row r="260" spans="1:17" ht="15.75" customHeight="1" x14ac:dyDescent="0.35">
      <c r="A260" s="21"/>
      <c r="B260" s="19"/>
      <c r="C260" s="20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</row>
    <row r="261" spans="1:17" ht="15.75" customHeight="1" x14ac:dyDescent="0.35">
      <c r="A261" s="21"/>
      <c r="B261" s="19"/>
      <c r="C261" s="20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</row>
    <row r="262" spans="1:17" ht="15.75" customHeight="1" x14ac:dyDescent="0.35">
      <c r="A262" s="21"/>
      <c r="B262" s="19"/>
      <c r="C262" s="20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</row>
    <row r="263" spans="1:17" ht="15.75" customHeight="1" x14ac:dyDescent="0.35">
      <c r="A263" s="21"/>
      <c r="B263" s="19"/>
      <c r="C263" s="20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</row>
    <row r="264" spans="1:17" ht="15.75" customHeight="1" x14ac:dyDescent="0.35">
      <c r="A264" s="21"/>
      <c r="B264" s="19"/>
      <c r="C264" s="20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</row>
    <row r="265" spans="1:17" ht="15.75" customHeight="1" x14ac:dyDescent="0.35">
      <c r="A265" s="21"/>
      <c r="B265" s="19"/>
      <c r="C265" s="20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</row>
    <row r="266" spans="1:17" ht="15.75" customHeight="1" x14ac:dyDescent="0.35">
      <c r="A266" s="21"/>
      <c r="B266" s="19"/>
      <c r="C266" s="20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</row>
    <row r="267" spans="1:17" ht="15.75" customHeight="1" x14ac:dyDescent="0.35">
      <c r="A267" s="21"/>
      <c r="B267" s="19"/>
      <c r="C267" s="20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</row>
    <row r="268" spans="1:17" ht="15.75" customHeight="1" x14ac:dyDescent="0.35">
      <c r="A268" s="21"/>
      <c r="B268" s="19"/>
      <c r="C268" s="20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</row>
    <row r="269" spans="1:17" ht="15.75" customHeight="1" x14ac:dyDescent="0.35">
      <c r="A269" s="21"/>
      <c r="B269" s="19"/>
      <c r="C269" s="20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</row>
    <row r="270" spans="1:17" ht="15.75" customHeight="1" x14ac:dyDescent="0.35">
      <c r="A270" s="21"/>
      <c r="B270" s="19"/>
      <c r="C270" s="20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</row>
    <row r="271" spans="1:17" ht="15.75" customHeight="1" x14ac:dyDescent="0.35">
      <c r="A271" s="21"/>
      <c r="B271" s="19"/>
      <c r="C271" s="20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</row>
    <row r="272" spans="1:17" ht="15.75" customHeight="1" x14ac:dyDescent="0.35">
      <c r="A272" s="21"/>
      <c r="B272" s="19"/>
      <c r="C272" s="20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</row>
    <row r="273" spans="1:17" ht="15.75" customHeight="1" x14ac:dyDescent="0.35">
      <c r="A273" s="21"/>
      <c r="B273" s="19"/>
      <c r="C273" s="20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</row>
    <row r="274" spans="1:17" ht="15.75" customHeight="1" x14ac:dyDescent="0.35">
      <c r="A274" s="21"/>
      <c r="B274" s="19"/>
      <c r="C274" s="20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</row>
    <row r="275" spans="1:17" ht="15.75" customHeight="1" x14ac:dyDescent="0.35">
      <c r="A275" s="21"/>
      <c r="B275" s="19"/>
      <c r="C275" s="20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</row>
    <row r="276" spans="1:17" ht="15.75" customHeight="1" x14ac:dyDescent="0.35">
      <c r="A276" s="21"/>
      <c r="B276" s="19"/>
      <c r="C276" s="20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</row>
    <row r="277" spans="1:17" ht="15.75" customHeight="1" x14ac:dyDescent="0.35">
      <c r="A277" s="21"/>
      <c r="B277" s="19"/>
      <c r="C277" s="20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</row>
    <row r="278" spans="1:17" ht="15.75" customHeight="1" x14ac:dyDescent="0.35">
      <c r="A278" s="21"/>
      <c r="B278" s="19"/>
      <c r="C278" s="20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</row>
    <row r="279" spans="1:17" ht="15.75" customHeight="1" x14ac:dyDescent="0.35">
      <c r="A279" s="21"/>
      <c r="B279" s="19"/>
      <c r="C279" s="20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</row>
    <row r="280" spans="1:17" ht="15.75" customHeight="1" x14ac:dyDescent="0.35">
      <c r="A280" s="21"/>
      <c r="B280" s="19"/>
      <c r="C280" s="20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</row>
    <row r="281" spans="1:17" ht="15.75" customHeight="1" x14ac:dyDescent="0.35">
      <c r="A281" s="21"/>
      <c r="B281" s="19"/>
      <c r="C281" s="20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</row>
    <row r="282" spans="1:17" ht="15.75" customHeight="1" x14ac:dyDescent="0.35">
      <c r="A282" s="21"/>
      <c r="B282" s="19"/>
      <c r="C282" s="20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</row>
    <row r="283" spans="1:17" ht="15.75" customHeight="1" x14ac:dyDescent="0.35">
      <c r="A283" s="21"/>
      <c r="B283" s="19"/>
      <c r="C283" s="20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</row>
    <row r="284" spans="1:17" ht="15.75" customHeight="1" x14ac:dyDescent="0.35">
      <c r="A284" s="21"/>
      <c r="B284" s="19"/>
      <c r="C284" s="20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</row>
    <row r="285" spans="1:17" ht="15.75" customHeight="1" x14ac:dyDescent="0.35">
      <c r="A285" s="21"/>
      <c r="B285" s="19"/>
      <c r="C285" s="20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</row>
    <row r="286" spans="1:17" ht="15.75" customHeight="1" x14ac:dyDescent="0.35">
      <c r="A286" s="21"/>
      <c r="B286" s="19"/>
      <c r="C286" s="20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</row>
    <row r="287" spans="1:17" ht="15.75" customHeight="1" x14ac:dyDescent="0.35">
      <c r="A287" s="21"/>
      <c r="B287" s="19"/>
      <c r="C287" s="20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</row>
    <row r="288" spans="1:17" ht="15.75" customHeight="1" x14ac:dyDescent="0.35">
      <c r="A288" s="21"/>
      <c r="B288" s="19"/>
      <c r="C288" s="20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</row>
    <row r="289" spans="1:17" ht="15.75" customHeight="1" x14ac:dyDescent="0.35">
      <c r="A289" s="21"/>
      <c r="B289" s="19"/>
      <c r="C289" s="20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</row>
    <row r="290" spans="1:17" ht="15.75" customHeight="1" x14ac:dyDescent="0.35">
      <c r="A290" s="21"/>
      <c r="B290" s="19"/>
      <c r="C290" s="20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</row>
    <row r="291" spans="1:17" ht="15.75" customHeight="1" x14ac:dyDescent="0.35">
      <c r="A291" s="21"/>
      <c r="B291" s="19"/>
      <c r="C291" s="20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</row>
    <row r="292" spans="1:17" ht="15.75" customHeight="1" x14ac:dyDescent="0.35">
      <c r="A292" s="21"/>
      <c r="B292" s="19"/>
      <c r="C292" s="20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</row>
    <row r="293" spans="1:17" ht="15.75" customHeight="1" x14ac:dyDescent="0.35">
      <c r="A293" s="21"/>
      <c r="B293" s="19"/>
      <c r="C293" s="20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</row>
    <row r="294" spans="1:17" ht="15.75" customHeight="1" x14ac:dyDescent="0.35">
      <c r="A294" s="21"/>
      <c r="B294" s="19"/>
      <c r="C294" s="20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</row>
    <row r="295" spans="1:17" ht="15.75" customHeight="1" x14ac:dyDescent="0.35">
      <c r="A295" s="21"/>
      <c r="B295" s="19"/>
      <c r="C295" s="20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</row>
    <row r="296" spans="1:17" ht="15.75" customHeight="1" x14ac:dyDescent="0.35">
      <c r="A296" s="21"/>
      <c r="B296" s="19"/>
      <c r="C296" s="20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</row>
    <row r="297" spans="1:17" ht="15.75" customHeight="1" x14ac:dyDescent="0.35">
      <c r="A297" s="21"/>
      <c r="B297" s="19"/>
      <c r="C297" s="20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</row>
    <row r="298" spans="1:17" ht="15.75" customHeight="1" x14ac:dyDescent="0.35">
      <c r="A298" s="21"/>
      <c r="B298" s="19"/>
      <c r="C298" s="20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</row>
    <row r="299" spans="1:17" ht="15.75" customHeight="1" x14ac:dyDescent="0.35">
      <c r="A299" s="21"/>
      <c r="B299" s="19"/>
      <c r="C299" s="20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</row>
    <row r="300" spans="1:17" ht="15.75" customHeight="1" x14ac:dyDescent="0.35">
      <c r="A300" s="21"/>
      <c r="B300" s="19"/>
      <c r="C300" s="20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</row>
    <row r="301" spans="1:17" ht="15.75" customHeight="1" x14ac:dyDescent="0.35">
      <c r="A301" s="21"/>
      <c r="B301" s="19"/>
      <c r="C301" s="20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</row>
    <row r="302" spans="1:17" ht="15.75" customHeight="1" x14ac:dyDescent="0.35">
      <c r="A302" s="21"/>
      <c r="B302" s="19"/>
      <c r="C302" s="20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</row>
    <row r="303" spans="1:17" ht="15.75" customHeight="1" x14ac:dyDescent="0.35">
      <c r="A303" s="21"/>
      <c r="B303" s="19"/>
      <c r="C303" s="20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</row>
    <row r="304" spans="1:17" ht="15.75" customHeight="1" x14ac:dyDescent="0.35">
      <c r="A304" s="21"/>
      <c r="B304" s="19"/>
      <c r="C304" s="20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</row>
    <row r="305" spans="1:17" ht="15.75" customHeight="1" x14ac:dyDescent="0.35">
      <c r="A305" s="21"/>
      <c r="B305" s="19"/>
      <c r="C305" s="20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</row>
    <row r="306" spans="1:17" ht="15.75" customHeight="1" x14ac:dyDescent="0.35">
      <c r="A306" s="21"/>
      <c r="B306" s="19"/>
      <c r="C306" s="20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</row>
    <row r="307" spans="1:17" ht="15.75" customHeight="1" x14ac:dyDescent="0.35">
      <c r="A307" s="21"/>
      <c r="B307" s="19"/>
      <c r="C307" s="20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</row>
    <row r="308" spans="1:17" ht="15.75" customHeight="1" x14ac:dyDescent="0.35">
      <c r="A308" s="21"/>
      <c r="B308" s="19"/>
      <c r="C308" s="20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</row>
    <row r="309" spans="1:17" ht="15.75" customHeight="1" x14ac:dyDescent="0.35">
      <c r="A309" s="21"/>
      <c r="B309" s="19"/>
      <c r="C309" s="20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</row>
    <row r="310" spans="1:17" ht="15.75" customHeight="1" x14ac:dyDescent="0.35">
      <c r="A310" s="21"/>
      <c r="B310" s="19"/>
      <c r="C310" s="20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</row>
    <row r="311" spans="1:17" ht="15.75" customHeight="1" x14ac:dyDescent="0.35">
      <c r="A311" s="21"/>
      <c r="B311" s="19"/>
      <c r="C311" s="20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</row>
    <row r="312" spans="1:17" ht="15.75" customHeight="1" x14ac:dyDescent="0.35">
      <c r="A312" s="21"/>
      <c r="B312" s="19"/>
      <c r="C312" s="20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</row>
    <row r="313" spans="1:17" ht="15.75" customHeight="1" x14ac:dyDescent="0.35">
      <c r="A313" s="21"/>
      <c r="B313" s="19"/>
      <c r="C313" s="20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</row>
    <row r="314" spans="1:17" ht="15.75" customHeight="1" x14ac:dyDescent="0.35">
      <c r="A314" s="21"/>
      <c r="B314" s="19"/>
      <c r="C314" s="20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</row>
    <row r="315" spans="1:17" ht="15.75" customHeight="1" x14ac:dyDescent="0.35">
      <c r="A315" s="21"/>
      <c r="B315" s="19"/>
      <c r="C315" s="20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</row>
    <row r="316" spans="1:17" ht="15.75" customHeight="1" x14ac:dyDescent="0.35">
      <c r="A316" s="21"/>
      <c r="B316" s="19"/>
      <c r="C316" s="20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</row>
    <row r="317" spans="1:17" ht="15.75" customHeight="1" x14ac:dyDescent="0.35">
      <c r="A317" s="21"/>
      <c r="B317" s="19"/>
      <c r="C317" s="20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</row>
    <row r="318" spans="1:17" ht="15.75" customHeight="1" x14ac:dyDescent="0.35">
      <c r="A318" s="21"/>
      <c r="B318" s="19"/>
      <c r="C318" s="20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</row>
    <row r="319" spans="1:17" ht="15.75" customHeight="1" x14ac:dyDescent="0.35">
      <c r="A319" s="21"/>
      <c r="B319" s="19"/>
      <c r="C319" s="20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</row>
    <row r="320" spans="1:17" ht="15.75" customHeight="1" x14ac:dyDescent="0.35">
      <c r="A320" s="21"/>
      <c r="B320" s="19"/>
      <c r="C320" s="20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</row>
    <row r="321" spans="1:17" ht="15.75" customHeight="1" x14ac:dyDescent="0.35">
      <c r="A321" s="21"/>
      <c r="B321" s="19"/>
      <c r="C321" s="20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</row>
    <row r="322" spans="1:17" ht="15.75" customHeight="1" x14ac:dyDescent="0.35">
      <c r="A322" s="21"/>
      <c r="B322" s="19"/>
      <c r="C322" s="20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</row>
    <row r="323" spans="1:17" ht="15.75" customHeight="1" x14ac:dyDescent="0.35">
      <c r="A323" s="21"/>
      <c r="B323" s="19"/>
      <c r="C323" s="20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</row>
    <row r="324" spans="1:17" ht="15.75" customHeight="1" x14ac:dyDescent="0.35">
      <c r="A324" s="21"/>
      <c r="B324" s="19"/>
      <c r="C324" s="20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</row>
    <row r="325" spans="1:17" ht="15.75" customHeight="1" x14ac:dyDescent="0.35">
      <c r="A325" s="21"/>
      <c r="B325" s="19"/>
      <c r="C325" s="20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</row>
    <row r="326" spans="1:17" ht="15.75" customHeight="1" x14ac:dyDescent="0.35">
      <c r="A326" s="21"/>
      <c r="B326" s="19"/>
      <c r="C326" s="20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</row>
    <row r="327" spans="1:17" ht="15.75" customHeight="1" x14ac:dyDescent="0.35">
      <c r="A327" s="21"/>
      <c r="B327" s="19"/>
      <c r="C327" s="20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</row>
    <row r="328" spans="1:17" ht="15.75" customHeight="1" x14ac:dyDescent="0.35">
      <c r="A328" s="21"/>
      <c r="B328" s="19"/>
      <c r="C328" s="20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</row>
    <row r="329" spans="1:17" ht="15.75" customHeight="1" x14ac:dyDescent="0.35">
      <c r="A329" s="21"/>
      <c r="B329" s="19"/>
      <c r="C329" s="20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</row>
    <row r="330" spans="1:17" ht="15.75" customHeight="1" x14ac:dyDescent="0.35">
      <c r="A330" s="21"/>
      <c r="B330" s="19"/>
      <c r="C330" s="20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</row>
    <row r="331" spans="1:17" ht="15.75" customHeight="1" x14ac:dyDescent="0.35">
      <c r="A331" s="21"/>
      <c r="B331" s="19"/>
      <c r="C331" s="20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</row>
    <row r="332" spans="1:17" ht="15.75" customHeight="1" x14ac:dyDescent="0.35">
      <c r="A332" s="21"/>
      <c r="B332" s="19"/>
      <c r="C332" s="20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</row>
    <row r="333" spans="1:17" ht="15.75" customHeight="1" x14ac:dyDescent="0.35">
      <c r="A333" s="21"/>
      <c r="B333" s="19"/>
      <c r="C333" s="20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</row>
    <row r="334" spans="1:17" ht="15.75" customHeight="1" x14ac:dyDescent="0.35">
      <c r="A334" s="21"/>
      <c r="B334" s="19"/>
      <c r="C334" s="20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</row>
    <row r="335" spans="1:17" ht="15.75" customHeight="1" x14ac:dyDescent="0.35">
      <c r="A335" s="21"/>
      <c r="B335" s="19"/>
      <c r="C335" s="20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</row>
    <row r="336" spans="1:17" ht="15.75" customHeight="1" x14ac:dyDescent="0.35">
      <c r="A336" s="21"/>
      <c r="B336" s="19"/>
      <c r="C336" s="20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</row>
    <row r="337" spans="1:17" ht="15.75" customHeight="1" x14ac:dyDescent="0.35">
      <c r="A337" s="21"/>
      <c r="B337" s="19"/>
      <c r="C337" s="20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</row>
    <row r="338" spans="1:17" ht="15.75" customHeight="1" x14ac:dyDescent="0.35">
      <c r="A338" s="21"/>
      <c r="B338" s="19"/>
      <c r="C338" s="20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</row>
    <row r="339" spans="1:17" ht="15.75" customHeight="1" x14ac:dyDescent="0.35">
      <c r="A339" s="21"/>
      <c r="B339" s="19"/>
      <c r="C339" s="20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</row>
    <row r="340" spans="1:17" ht="15.75" customHeight="1" x14ac:dyDescent="0.35">
      <c r="A340" s="21"/>
      <c r="B340" s="19"/>
      <c r="C340" s="20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</row>
    <row r="341" spans="1:17" ht="15.75" customHeight="1" x14ac:dyDescent="0.35">
      <c r="A341" s="21"/>
      <c r="B341" s="19"/>
      <c r="C341" s="20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</row>
    <row r="342" spans="1:17" ht="15.75" customHeight="1" x14ac:dyDescent="0.35">
      <c r="A342" s="21"/>
      <c r="B342" s="19"/>
      <c r="C342" s="20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</row>
    <row r="343" spans="1:17" ht="15.75" customHeight="1" x14ac:dyDescent="0.35">
      <c r="A343" s="21"/>
      <c r="B343" s="19"/>
      <c r="C343" s="20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</row>
    <row r="344" spans="1:17" ht="15.75" customHeight="1" x14ac:dyDescent="0.35">
      <c r="A344" s="21"/>
      <c r="B344" s="19"/>
      <c r="C344" s="20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</row>
    <row r="345" spans="1:17" ht="15.75" customHeight="1" x14ac:dyDescent="0.35">
      <c r="A345" s="21"/>
      <c r="B345" s="19"/>
      <c r="C345" s="20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</row>
    <row r="346" spans="1:17" ht="15.75" customHeight="1" x14ac:dyDescent="0.35">
      <c r="A346" s="21"/>
      <c r="B346" s="19"/>
      <c r="C346" s="20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</row>
    <row r="347" spans="1:17" ht="15.75" customHeight="1" x14ac:dyDescent="0.35">
      <c r="A347" s="21"/>
      <c r="B347" s="19"/>
      <c r="C347" s="20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</row>
    <row r="348" spans="1:17" ht="15.75" customHeight="1" x14ac:dyDescent="0.35">
      <c r="A348" s="21"/>
      <c r="B348" s="19"/>
      <c r="C348" s="20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</row>
    <row r="349" spans="1:17" ht="15.75" customHeight="1" x14ac:dyDescent="0.35">
      <c r="A349" s="21"/>
      <c r="B349" s="19"/>
      <c r="C349" s="20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</row>
    <row r="350" spans="1:17" ht="15.75" customHeight="1" x14ac:dyDescent="0.35">
      <c r="A350" s="21"/>
      <c r="B350" s="19"/>
      <c r="C350" s="20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</row>
    <row r="351" spans="1:17" ht="15.75" customHeight="1" x14ac:dyDescent="0.35">
      <c r="A351" s="21"/>
      <c r="B351" s="19"/>
      <c r="C351" s="20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</row>
    <row r="352" spans="1:17" ht="15.75" customHeight="1" x14ac:dyDescent="0.35">
      <c r="A352" s="21"/>
      <c r="B352" s="19"/>
      <c r="C352" s="20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</row>
    <row r="353" spans="1:17" ht="15.75" customHeight="1" x14ac:dyDescent="0.35">
      <c r="A353" s="21"/>
      <c r="B353" s="19"/>
      <c r="C353" s="20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</row>
    <row r="354" spans="1:17" ht="15.75" customHeight="1" x14ac:dyDescent="0.35">
      <c r="A354" s="21"/>
      <c r="B354" s="19"/>
      <c r="C354" s="20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</row>
    <row r="355" spans="1:17" ht="15.75" customHeight="1" x14ac:dyDescent="0.35">
      <c r="A355" s="21"/>
      <c r="B355" s="19"/>
      <c r="C355" s="20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</row>
    <row r="356" spans="1:17" ht="15.75" customHeight="1" x14ac:dyDescent="0.35">
      <c r="A356" s="21"/>
      <c r="B356" s="19"/>
      <c r="C356" s="20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</row>
    <row r="357" spans="1:17" ht="15.75" customHeight="1" x14ac:dyDescent="0.35">
      <c r="A357" s="21"/>
      <c r="B357" s="19"/>
      <c r="C357" s="20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</row>
    <row r="358" spans="1:17" ht="15.75" customHeight="1" x14ac:dyDescent="0.35">
      <c r="A358" s="21"/>
      <c r="B358" s="19"/>
      <c r="C358" s="20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</row>
    <row r="359" spans="1:17" ht="15.75" customHeight="1" x14ac:dyDescent="0.35">
      <c r="A359" s="21"/>
      <c r="B359" s="19"/>
      <c r="C359" s="20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</row>
    <row r="360" spans="1:17" ht="15.75" customHeight="1" x14ac:dyDescent="0.35">
      <c r="A360" s="21"/>
      <c r="B360" s="19"/>
      <c r="C360" s="20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</row>
    <row r="361" spans="1:17" ht="15.75" customHeight="1" x14ac:dyDescent="0.35">
      <c r="A361" s="21"/>
      <c r="B361" s="19"/>
      <c r="C361" s="20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</row>
    <row r="362" spans="1:17" ht="15.75" customHeight="1" x14ac:dyDescent="0.35">
      <c r="A362" s="21"/>
      <c r="B362" s="19"/>
      <c r="C362" s="20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</row>
    <row r="363" spans="1:17" ht="15.75" customHeight="1" x14ac:dyDescent="0.35">
      <c r="A363" s="21"/>
      <c r="B363" s="19"/>
      <c r="C363" s="20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</row>
    <row r="364" spans="1:17" ht="15.75" customHeight="1" x14ac:dyDescent="0.35">
      <c r="A364" s="21"/>
      <c r="B364" s="19"/>
      <c r="C364" s="20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</row>
    <row r="365" spans="1:17" ht="15.75" customHeight="1" x14ac:dyDescent="0.35">
      <c r="A365" s="21"/>
      <c r="B365" s="19"/>
      <c r="C365" s="20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</row>
    <row r="366" spans="1:17" ht="15.75" customHeight="1" x14ac:dyDescent="0.35">
      <c r="A366" s="21"/>
      <c r="B366" s="19"/>
      <c r="C366" s="20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</row>
    <row r="367" spans="1:17" ht="15.75" customHeight="1" x14ac:dyDescent="0.35">
      <c r="A367" s="21"/>
      <c r="B367" s="19"/>
      <c r="C367" s="20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</row>
    <row r="368" spans="1:17" ht="15.75" customHeight="1" x14ac:dyDescent="0.35">
      <c r="A368" s="21"/>
      <c r="B368" s="19"/>
      <c r="C368" s="20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</row>
    <row r="369" spans="1:17" ht="15.75" customHeight="1" x14ac:dyDescent="0.35">
      <c r="A369" s="21"/>
      <c r="B369" s="19"/>
      <c r="C369" s="20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</row>
    <row r="370" spans="1:17" ht="15.75" customHeight="1" x14ac:dyDescent="0.35">
      <c r="A370" s="21"/>
      <c r="B370" s="19"/>
      <c r="C370" s="20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</row>
    <row r="371" spans="1:17" ht="15.75" customHeight="1" x14ac:dyDescent="0.35">
      <c r="A371" s="21"/>
      <c r="B371" s="19"/>
      <c r="C371" s="20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</row>
    <row r="372" spans="1:17" ht="15.75" customHeight="1" x14ac:dyDescent="0.35">
      <c r="A372" s="21"/>
      <c r="B372" s="19"/>
      <c r="C372" s="20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</row>
    <row r="373" spans="1:17" ht="15.75" customHeight="1" x14ac:dyDescent="0.35">
      <c r="A373" s="21"/>
      <c r="B373" s="19"/>
      <c r="C373" s="20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</row>
    <row r="374" spans="1:17" ht="15.75" customHeight="1" x14ac:dyDescent="0.35">
      <c r="A374" s="21"/>
      <c r="B374" s="19"/>
      <c r="C374" s="20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</row>
    <row r="375" spans="1:17" ht="15.75" customHeight="1" x14ac:dyDescent="0.35">
      <c r="A375" s="21"/>
      <c r="B375" s="19"/>
      <c r="C375" s="20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</row>
    <row r="376" spans="1:17" ht="15.75" customHeight="1" x14ac:dyDescent="0.35">
      <c r="A376" s="21"/>
      <c r="B376" s="19"/>
      <c r="C376" s="20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</row>
    <row r="377" spans="1:17" ht="15.75" customHeight="1" x14ac:dyDescent="0.35">
      <c r="A377" s="21"/>
      <c r="B377" s="19"/>
      <c r="C377" s="20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</row>
    <row r="378" spans="1:17" ht="15.75" customHeight="1" x14ac:dyDescent="0.35">
      <c r="A378" s="21"/>
      <c r="B378" s="19"/>
      <c r="C378" s="20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</row>
    <row r="379" spans="1:17" ht="15.75" customHeight="1" x14ac:dyDescent="0.35">
      <c r="A379" s="21"/>
      <c r="B379" s="19"/>
      <c r="C379" s="20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</row>
    <row r="380" spans="1:17" ht="15.75" customHeight="1" x14ac:dyDescent="0.35">
      <c r="A380" s="21"/>
      <c r="B380" s="19"/>
      <c r="C380" s="20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</row>
    <row r="381" spans="1:17" ht="15.75" customHeight="1" x14ac:dyDescent="0.35">
      <c r="A381" s="21"/>
      <c r="B381" s="19"/>
      <c r="C381" s="20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</row>
    <row r="382" spans="1:17" ht="15.75" customHeight="1" x14ac:dyDescent="0.35">
      <c r="A382" s="21"/>
      <c r="B382" s="19"/>
      <c r="C382" s="20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</row>
    <row r="383" spans="1:17" ht="15.75" customHeight="1" x14ac:dyDescent="0.35">
      <c r="A383" s="21"/>
      <c r="B383" s="19"/>
      <c r="C383" s="20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</row>
    <row r="384" spans="1:17" ht="15.75" customHeight="1" x14ac:dyDescent="0.35">
      <c r="A384" s="21"/>
      <c r="B384" s="19"/>
      <c r="C384" s="20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</row>
    <row r="385" spans="1:17" ht="15.75" customHeight="1" x14ac:dyDescent="0.35">
      <c r="A385" s="21"/>
      <c r="B385" s="19"/>
      <c r="C385" s="20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</row>
    <row r="386" spans="1:17" ht="15.75" customHeight="1" x14ac:dyDescent="0.35">
      <c r="A386" s="21"/>
      <c r="B386" s="19"/>
      <c r="C386" s="20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</row>
    <row r="387" spans="1:17" ht="15.75" customHeight="1" x14ac:dyDescent="0.35">
      <c r="A387" s="21"/>
      <c r="B387" s="19"/>
      <c r="C387" s="20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</row>
    <row r="388" spans="1:17" ht="15.75" customHeight="1" x14ac:dyDescent="0.35">
      <c r="A388" s="21"/>
      <c r="B388" s="19"/>
      <c r="C388" s="20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</row>
    <row r="389" spans="1:17" ht="15.75" customHeight="1" x14ac:dyDescent="0.35">
      <c r="A389" s="21"/>
      <c r="B389" s="19"/>
      <c r="C389" s="20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</row>
    <row r="390" spans="1:17" ht="15.75" customHeight="1" x14ac:dyDescent="0.35">
      <c r="A390" s="21"/>
      <c r="B390" s="19"/>
      <c r="C390" s="20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</row>
    <row r="391" spans="1:17" ht="15.75" customHeight="1" x14ac:dyDescent="0.35">
      <c r="A391" s="21"/>
      <c r="B391" s="19"/>
      <c r="C391" s="20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</row>
    <row r="392" spans="1:17" ht="15.75" customHeight="1" x14ac:dyDescent="0.35">
      <c r="A392" s="21"/>
      <c r="B392" s="19"/>
      <c r="C392" s="20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</row>
    <row r="393" spans="1:17" ht="15.75" customHeight="1" x14ac:dyDescent="0.35">
      <c r="A393" s="21"/>
      <c r="B393" s="19"/>
      <c r="C393" s="20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</row>
    <row r="394" spans="1:17" ht="15.75" customHeight="1" x14ac:dyDescent="0.35">
      <c r="A394" s="21"/>
      <c r="B394" s="19"/>
      <c r="C394" s="20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</row>
    <row r="395" spans="1:17" ht="15.75" customHeight="1" x14ac:dyDescent="0.35">
      <c r="A395" s="21"/>
      <c r="B395" s="19"/>
      <c r="C395" s="20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</row>
    <row r="396" spans="1:17" ht="15.75" customHeight="1" x14ac:dyDescent="0.35">
      <c r="A396" s="21"/>
      <c r="B396" s="19"/>
      <c r="C396" s="20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</row>
    <row r="397" spans="1:17" ht="15.75" customHeight="1" x14ac:dyDescent="0.35">
      <c r="A397" s="21"/>
      <c r="B397" s="19"/>
      <c r="C397" s="20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</row>
    <row r="398" spans="1:17" ht="15.75" customHeight="1" x14ac:dyDescent="0.35">
      <c r="A398" s="21"/>
      <c r="B398" s="19"/>
      <c r="C398" s="20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</row>
    <row r="399" spans="1:17" ht="15.75" customHeight="1" x14ac:dyDescent="0.35">
      <c r="A399" s="21"/>
      <c r="B399" s="19"/>
      <c r="C399" s="20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</row>
    <row r="400" spans="1:17" ht="15.75" customHeight="1" x14ac:dyDescent="0.35">
      <c r="A400" s="21"/>
      <c r="B400" s="19"/>
      <c r="C400" s="20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</row>
    <row r="401" spans="1:17" ht="15.75" customHeight="1" x14ac:dyDescent="0.35">
      <c r="A401" s="21"/>
      <c r="B401" s="19"/>
      <c r="C401" s="20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</row>
    <row r="402" spans="1:17" ht="15.75" customHeight="1" x14ac:dyDescent="0.35">
      <c r="A402" s="21"/>
      <c r="B402" s="19"/>
      <c r="C402" s="20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</row>
    <row r="403" spans="1:17" ht="15.75" customHeight="1" x14ac:dyDescent="0.35">
      <c r="A403" s="21"/>
      <c r="B403" s="19"/>
      <c r="C403" s="20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</row>
    <row r="404" spans="1:17" ht="15.75" customHeight="1" x14ac:dyDescent="0.35">
      <c r="A404" s="21"/>
      <c r="B404" s="19"/>
      <c r="C404" s="20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</row>
    <row r="405" spans="1:17" ht="15.75" customHeight="1" x14ac:dyDescent="0.35">
      <c r="A405" s="21"/>
      <c r="B405" s="19"/>
      <c r="C405" s="20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</row>
    <row r="406" spans="1:17" ht="15.75" customHeight="1" x14ac:dyDescent="0.35">
      <c r="A406" s="21"/>
      <c r="B406" s="19"/>
      <c r="C406" s="20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</row>
    <row r="407" spans="1:17" ht="15.75" customHeight="1" x14ac:dyDescent="0.35">
      <c r="A407" s="21"/>
      <c r="B407" s="19"/>
      <c r="C407" s="20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</row>
    <row r="408" spans="1:17" ht="15.75" customHeight="1" x14ac:dyDescent="0.35">
      <c r="A408" s="21"/>
      <c r="B408" s="19"/>
      <c r="C408" s="20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</row>
    <row r="409" spans="1:17" ht="15.75" customHeight="1" x14ac:dyDescent="0.35">
      <c r="A409" s="21"/>
      <c r="B409" s="19"/>
      <c r="C409" s="20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</row>
    <row r="410" spans="1:17" ht="15.75" customHeight="1" x14ac:dyDescent="0.35">
      <c r="A410" s="21"/>
      <c r="B410" s="19"/>
      <c r="C410" s="20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</row>
    <row r="411" spans="1:17" ht="15.75" customHeight="1" x14ac:dyDescent="0.35">
      <c r="A411" s="21"/>
      <c r="B411" s="19"/>
      <c r="C411" s="20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</row>
    <row r="412" spans="1:17" ht="15.75" customHeight="1" x14ac:dyDescent="0.35">
      <c r="A412" s="21"/>
      <c r="B412" s="19"/>
      <c r="C412" s="20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</row>
    <row r="413" spans="1:17" ht="15.75" customHeight="1" x14ac:dyDescent="0.35">
      <c r="A413" s="21"/>
      <c r="B413" s="19"/>
      <c r="C413" s="20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</row>
    <row r="414" spans="1:17" ht="15.75" customHeight="1" x14ac:dyDescent="0.35">
      <c r="A414" s="21"/>
      <c r="B414" s="19"/>
      <c r="C414" s="20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</row>
    <row r="415" spans="1:17" ht="15.75" customHeight="1" x14ac:dyDescent="0.35">
      <c r="A415" s="21"/>
      <c r="B415" s="19"/>
      <c r="C415" s="20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</row>
    <row r="416" spans="1:17" ht="15.75" customHeight="1" x14ac:dyDescent="0.35">
      <c r="A416" s="21"/>
      <c r="B416" s="19"/>
      <c r="C416" s="20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</row>
    <row r="417" spans="1:17" ht="15.75" customHeight="1" x14ac:dyDescent="0.35">
      <c r="A417" s="21"/>
      <c r="B417" s="19"/>
      <c r="C417" s="20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</row>
    <row r="418" spans="1:17" ht="15.75" customHeight="1" x14ac:dyDescent="0.35">
      <c r="A418" s="21"/>
      <c r="B418" s="19"/>
      <c r="C418" s="20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</row>
    <row r="419" spans="1:17" ht="15.75" customHeight="1" x14ac:dyDescent="0.35">
      <c r="A419" s="21"/>
      <c r="B419" s="19"/>
      <c r="C419" s="20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</row>
    <row r="420" spans="1:17" ht="15.75" customHeight="1" x14ac:dyDescent="0.35">
      <c r="A420" s="21"/>
      <c r="B420" s="19"/>
      <c r="C420" s="20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</row>
    <row r="421" spans="1:17" ht="15.75" customHeight="1" x14ac:dyDescent="0.35">
      <c r="A421" s="21"/>
      <c r="B421" s="19"/>
      <c r="C421" s="20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</row>
    <row r="422" spans="1:17" ht="15.75" customHeight="1" x14ac:dyDescent="0.35">
      <c r="A422" s="21"/>
      <c r="B422" s="19"/>
      <c r="C422" s="20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</row>
    <row r="423" spans="1:17" ht="15.75" customHeight="1" x14ac:dyDescent="0.35">
      <c r="A423" s="21"/>
      <c r="B423" s="19"/>
      <c r="C423" s="20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</row>
    <row r="424" spans="1:17" ht="15.75" customHeight="1" x14ac:dyDescent="0.35">
      <c r="A424" s="21"/>
      <c r="B424" s="19"/>
      <c r="C424" s="20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</row>
    <row r="425" spans="1:17" ht="15.75" customHeight="1" x14ac:dyDescent="0.35">
      <c r="A425" s="21"/>
      <c r="B425" s="19"/>
      <c r="C425" s="20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</row>
    <row r="426" spans="1:17" ht="15.75" customHeight="1" x14ac:dyDescent="0.35">
      <c r="A426" s="21"/>
      <c r="B426" s="19"/>
      <c r="C426" s="20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</row>
    <row r="427" spans="1:17" ht="15.75" customHeight="1" x14ac:dyDescent="0.35">
      <c r="A427" s="21"/>
      <c r="B427" s="19"/>
      <c r="C427" s="20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</row>
    <row r="428" spans="1:17" ht="15.75" customHeight="1" x14ac:dyDescent="0.35">
      <c r="A428" s="21"/>
      <c r="B428" s="19"/>
      <c r="C428" s="20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</row>
    <row r="429" spans="1:17" ht="15.75" customHeight="1" x14ac:dyDescent="0.35">
      <c r="A429" s="21"/>
      <c r="B429" s="19"/>
      <c r="C429" s="20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</row>
    <row r="430" spans="1:17" ht="15.75" customHeight="1" x14ac:dyDescent="0.35">
      <c r="A430" s="21"/>
      <c r="B430" s="19"/>
      <c r="C430" s="20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</row>
    <row r="431" spans="1:17" ht="15.75" customHeight="1" x14ac:dyDescent="0.35">
      <c r="A431" s="21"/>
      <c r="B431" s="19"/>
      <c r="C431" s="20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</row>
    <row r="432" spans="1:17" ht="15.75" customHeight="1" x14ac:dyDescent="0.35">
      <c r="A432" s="21"/>
      <c r="B432" s="19"/>
      <c r="C432" s="20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</row>
    <row r="433" spans="1:17" ht="15.75" customHeight="1" x14ac:dyDescent="0.35">
      <c r="A433" s="21"/>
      <c r="B433" s="19"/>
      <c r="C433" s="20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</row>
    <row r="434" spans="1:17" ht="15.75" customHeight="1" x14ac:dyDescent="0.35">
      <c r="A434" s="21"/>
      <c r="B434" s="19"/>
      <c r="C434" s="20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</row>
    <row r="435" spans="1:17" ht="15.75" customHeight="1" x14ac:dyDescent="0.35">
      <c r="A435" s="21"/>
      <c r="B435" s="19"/>
      <c r="C435" s="20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</row>
    <row r="436" spans="1:17" ht="15.75" customHeight="1" x14ac:dyDescent="0.35">
      <c r="A436" s="21"/>
      <c r="B436" s="19"/>
      <c r="C436" s="20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</row>
    <row r="437" spans="1:17" ht="15.75" customHeight="1" x14ac:dyDescent="0.35">
      <c r="A437" s="21"/>
      <c r="B437" s="19"/>
      <c r="C437" s="20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</row>
    <row r="438" spans="1:17" ht="15.75" customHeight="1" x14ac:dyDescent="0.35">
      <c r="A438" s="21"/>
      <c r="B438" s="19"/>
      <c r="C438" s="20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</row>
    <row r="439" spans="1:17" ht="15.75" customHeight="1" x14ac:dyDescent="0.35">
      <c r="A439" s="21"/>
      <c r="B439" s="19"/>
      <c r="C439" s="20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</row>
    <row r="440" spans="1:17" ht="15.75" customHeight="1" x14ac:dyDescent="0.35">
      <c r="A440" s="21"/>
      <c r="B440" s="19"/>
      <c r="C440" s="20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</row>
    <row r="441" spans="1:17" ht="15.75" customHeight="1" x14ac:dyDescent="0.35">
      <c r="A441" s="21"/>
      <c r="B441" s="19"/>
      <c r="C441" s="20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</row>
    <row r="442" spans="1:17" ht="15.75" customHeight="1" x14ac:dyDescent="0.35">
      <c r="A442" s="21"/>
      <c r="B442" s="19"/>
      <c r="C442" s="20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</row>
    <row r="443" spans="1:17" ht="15.75" customHeight="1" x14ac:dyDescent="0.35">
      <c r="A443" s="21"/>
      <c r="B443" s="19"/>
      <c r="C443" s="20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</row>
    <row r="444" spans="1:17" ht="15.75" customHeight="1" x14ac:dyDescent="0.35">
      <c r="A444" s="21"/>
      <c r="B444" s="19"/>
      <c r="C444" s="20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</row>
    <row r="445" spans="1:17" ht="15.75" customHeight="1" x14ac:dyDescent="0.35">
      <c r="A445" s="21"/>
      <c r="B445" s="19"/>
      <c r="C445" s="20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</row>
    <row r="446" spans="1:17" ht="15.75" customHeight="1" x14ac:dyDescent="0.35">
      <c r="A446" s="21"/>
      <c r="B446" s="19"/>
      <c r="C446" s="20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</row>
    <row r="447" spans="1:17" ht="15.75" customHeight="1" x14ac:dyDescent="0.35">
      <c r="A447" s="21"/>
      <c r="B447" s="19"/>
      <c r="C447" s="20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</row>
    <row r="448" spans="1:17" ht="15.75" customHeight="1" x14ac:dyDescent="0.35">
      <c r="A448" s="21"/>
      <c r="B448" s="19"/>
      <c r="C448" s="20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</row>
    <row r="449" spans="1:17" ht="15.75" customHeight="1" x14ac:dyDescent="0.35">
      <c r="A449" s="21"/>
      <c r="B449" s="19"/>
      <c r="C449" s="20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</row>
    <row r="450" spans="1:17" ht="15.75" customHeight="1" x14ac:dyDescent="0.35">
      <c r="A450" s="21"/>
      <c r="B450" s="19"/>
      <c r="C450" s="20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</row>
    <row r="451" spans="1:17" ht="15.75" customHeight="1" x14ac:dyDescent="0.35">
      <c r="A451" s="21"/>
      <c r="B451" s="19"/>
      <c r="C451" s="20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</row>
    <row r="452" spans="1:17" ht="15.75" customHeight="1" x14ac:dyDescent="0.35">
      <c r="A452" s="21"/>
      <c r="B452" s="19"/>
      <c r="C452" s="20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</row>
    <row r="453" spans="1:17" ht="15.75" customHeight="1" x14ac:dyDescent="0.35">
      <c r="A453" s="21"/>
      <c r="B453" s="19"/>
      <c r="C453" s="20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</row>
    <row r="454" spans="1:17" ht="15.75" customHeight="1" x14ac:dyDescent="0.35">
      <c r="A454" s="21"/>
      <c r="B454" s="19"/>
      <c r="C454" s="20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</row>
    <row r="455" spans="1:17" ht="15.75" customHeight="1" x14ac:dyDescent="0.35">
      <c r="A455" s="21"/>
      <c r="B455" s="19"/>
      <c r="C455" s="20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</row>
    <row r="456" spans="1:17" ht="15.75" customHeight="1" x14ac:dyDescent="0.35">
      <c r="A456" s="21"/>
      <c r="B456" s="19"/>
      <c r="C456" s="20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</row>
    <row r="457" spans="1:17" ht="15.75" customHeight="1" x14ac:dyDescent="0.35">
      <c r="A457" s="21"/>
      <c r="B457" s="19"/>
      <c r="C457" s="20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</row>
    <row r="458" spans="1:17" ht="15.75" customHeight="1" x14ac:dyDescent="0.35">
      <c r="A458" s="21"/>
      <c r="B458" s="19"/>
      <c r="C458" s="20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</row>
    <row r="459" spans="1:17" ht="15.75" customHeight="1" x14ac:dyDescent="0.35">
      <c r="A459" s="21"/>
      <c r="B459" s="19"/>
      <c r="C459" s="20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</row>
    <row r="460" spans="1:17" ht="15.75" customHeight="1" x14ac:dyDescent="0.35">
      <c r="A460" s="21"/>
      <c r="B460" s="19"/>
      <c r="C460" s="20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</row>
    <row r="461" spans="1:17" ht="15.75" customHeight="1" x14ac:dyDescent="0.35">
      <c r="A461" s="21"/>
      <c r="B461" s="19"/>
      <c r="C461" s="20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</row>
    <row r="462" spans="1:17" ht="15.75" customHeight="1" x14ac:dyDescent="0.35">
      <c r="A462" s="21"/>
      <c r="B462" s="19"/>
      <c r="C462" s="20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</row>
    <row r="463" spans="1:17" ht="15.75" customHeight="1" x14ac:dyDescent="0.35">
      <c r="A463" s="21"/>
      <c r="B463" s="19"/>
      <c r="C463" s="20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</row>
    <row r="464" spans="1:17" ht="15.75" customHeight="1" x14ac:dyDescent="0.35">
      <c r="A464" s="21"/>
      <c r="B464" s="19"/>
      <c r="C464" s="20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</row>
    <row r="465" spans="1:17" ht="15.75" customHeight="1" x14ac:dyDescent="0.35">
      <c r="A465" s="21"/>
      <c r="B465" s="19"/>
      <c r="C465" s="20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</row>
    <row r="466" spans="1:17" ht="15.75" customHeight="1" x14ac:dyDescent="0.35">
      <c r="A466" s="21"/>
      <c r="B466" s="19"/>
      <c r="C466" s="20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</row>
    <row r="467" spans="1:17" ht="15.75" customHeight="1" x14ac:dyDescent="0.35">
      <c r="A467" s="21"/>
      <c r="B467" s="19"/>
      <c r="C467" s="20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</row>
    <row r="468" spans="1:17" ht="15.75" customHeight="1" x14ac:dyDescent="0.35">
      <c r="A468" s="21"/>
      <c r="B468" s="19"/>
      <c r="C468" s="20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</row>
    <row r="469" spans="1:17" ht="15.75" customHeight="1" x14ac:dyDescent="0.35">
      <c r="A469" s="21"/>
      <c r="B469" s="19"/>
      <c r="C469" s="20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</row>
    <row r="470" spans="1:17" ht="15.75" customHeight="1" x14ac:dyDescent="0.35">
      <c r="A470" s="21"/>
      <c r="B470" s="19"/>
      <c r="C470" s="20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</row>
    <row r="471" spans="1:17" ht="15.75" customHeight="1" x14ac:dyDescent="0.35">
      <c r="A471" s="21"/>
      <c r="B471" s="19"/>
      <c r="C471" s="20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</row>
    <row r="472" spans="1:17" ht="15.75" customHeight="1" x14ac:dyDescent="0.35">
      <c r="A472" s="21"/>
      <c r="B472" s="19"/>
      <c r="C472" s="20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</row>
    <row r="473" spans="1:17" ht="15.75" customHeight="1" x14ac:dyDescent="0.35">
      <c r="A473" s="21"/>
      <c r="B473" s="19"/>
      <c r="C473" s="20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</row>
    <row r="474" spans="1:17" ht="15.75" customHeight="1" x14ac:dyDescent="0.35">
      <c r="A474" s="21"/>
      <c r="B474" s="19"/>
      <c r="C474" s="20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</row>
    <row r="475" spans="1:17" ht="15.75" customHeight="1" x14ac:dyDescent="0.35">
      <c r="A475" s="21"/>
      <c r="B475" s="19"/>
      <c r="C475" s="20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</row>
    <row r="476" spans="1:17" ht="15.75" customHeight="1" x14ac:dyDescent="0.35">
      <c r="A476" s="21"/>
      <c r="B476" s="19"/>
      <c r="C476" s="20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</row>
    <row r="477" spans="1:17" ht="15.75" customHeight="1" x14ac:dyDescent="0.35">
      <c r="A477" s="21"/>
      <c r="B477" s="19"/>
      <c r="C477" s="20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</row>
    <row r="478" spans="1:17" ht="15.75" customHeight="1" x14ac:dyDescent="0.35">
      <c r="A478" s="21"/>
      <c r="B478" s="19"/>
      <c r="C478" s="20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</row>
    <row r="479" spans="1:17" ht="15.75" customHeight="1" x14ac:dyDescent="0.35">
      <c r="A479" s="21"/>
      <c r="B479" s="19"/>
      <c r="C479" s="20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</row>
    <row r="480" spans="1:17" ht="15.75" customHeight="1" x14ac:dyDescent="0.35">
      <c r="A480" s="21"/>
      <c r="B480" s="19"/>
      <c r="C480" s="20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</row>
    <row r="481" spans="1:17" ht="15.75" customHeight="1" x14ac:dyDescent="0.35">
      <c r="A481" s="21"/>
      <c r="B481" s="19"/>
      <c r="C481" s="20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</row>
    <row r="482" spans="1:17" ht="15.75" customHeight="1" x14ac:dyDescent="0.35">
      <c r="A482" s="21"/>
      <c r="B482" s="19"/>
      <c r="C482" s="20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</row>
    <row r="483" spans="1:17" ht="15.75" customHeight="1" x14ac:dyDescent="0.35">
      <c r="A483" s="21"/>
      <c r="B483" s="19"/>
      <c r="C483" s="20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</row>
    <row r="484" spans="1:17" ht="15.75" customHeight="1" x14ac:dyDescent="0.35">
      <c r="A484" s="21"/>
      <c r="B484" s="19"/>
      <c r="C484" s="20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</row>
    <row r="485" spans="1:17" ht="15.75" customHeight="1" x14ac:dyDescent="0.35">
      <c r="A485" s="21"/>
      <c r="B485" s="19"/>
      <c r="C485" s="20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</row>
    <row r="486" spans="1:17" ht="15.75" customHeight="1" x14ac:dyDescent="0.35">
      <c r="A486" s="21"/>
      <c r="B486" s="19"/>
      <c r="C486" s="20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</row>
    <row r="487" spans="1:17" ht="15.75" customHeight="1" x14ac:dyDescent="0.35">
      <c r="A487" s="21"/>
      <c r="B487" s="19"/>
      <c r="C487" s="20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</row>
    <row r="488" spans="1:17" ht="15.75" customHeight="1" x14ac:dyDescent="0.35">
      <c r="A488" s="21"/>
      <c r="B488" s="19"/>
      <c r="C488" s="20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</row>
    <row r="489" spans="1:17" ht="15.75" customHeight="1" x14ac:dyDescent="0.35">
      <c r="A489" s="21"/>
      <c r="B489" s="19"/>
      <c r="C489" s="20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</row>
    <row r="490" spans="1:17" ht="15.75" customHeight="1" x14ac:dyDescent="0.35">
      <c r="A490" s="21"/>
      <c r="B490" s="19"/>
      <c r="C490" s="20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</row>
    <row r="491" spans="1:17" ht="15.75" customHeight="1" x14ac:dyDescent="0.35">
      <c r="A491" s="21"/>
      <c r="B491" s="19"/>
      <c r="C491" s="20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</row>
    <row r="492" spans="1:17" ht="15.75" customHeight="1" x14ac:dyDescent="0.35">
      <c r="A492" s="21"/>
      <c r="B492" s="19"/>
      <c r="C492" s="20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</row>
    <row r="493" spans="1:17" ht="15.75" customHeight="1" x14ac:dyDescent="0.35">
      <c r="A493" s="21"/>
      <c r="B493" s="19"/>
      <c r="C493" s="20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</row>
    <row r="494" spans="1:17" ht="15.75" customHeight="1" x14ac:dyDescent="0.35">
      <c r="A494" s="21"/>
      <c r="B494" s="19"/>
      <c r="C494" s="20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</row>
    <row r="495" spans="1:17" ht="15.75" customHeight="1" x14ac:dyDescent="0.35">
      <c r="A495" s="21"/>
      <c r="B495" s="19"/>
      <c r="C495" s="20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</row>
    <row r="496" spans="1:17" ht="15.75" customHeight="1" x14ac:dyDescent="0.35">
      <c r="A496" s="21"/>
      <c r="B496" s="19"/>
      <c r="C496" s="20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</row>
    <row r="497" spans="1:17" ht="15.75" customHeight="1" x14ac:dyDescent="0.35">
      <c r="A497" s="21"/>
      <c r="B497" s="19"/>
      <c r="C497" s="20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</row>
    <row r="498" spans="1:17" ht="15.75" customHeight="1" x14ac:dyDescent="0.35">
      <c r="A498" s="21"/>
      <c r="B498" s="19"/>
      <c r="C498" s="20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</row>
    <row r="499" spans="1:17" ht="15.75" customHeight="1" x14ac:dyDescent="0.35">
      <c r="A499" s="21"/>
      <c r="B499" s="19"/>
      <c r="C499" s="20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</row>
    <row r="500" spans="1:17" ht="15.75" customHeight="1" x14ac:dyDescent="0.35">
      <c r="A500" s="21"/>
      <c r="B500" s="19"/>
      <c r="C500" s="20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</row>
    <row r="501" spans="1:17" ht="15.75" customHeight="1" x14ac:dyDescent="0.35">
      <c r="A501" s="21"/>
      <c r="B501" s="19"/>
      <c r="C501" s="20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</row>
    <row r="502" spans="1:17" ht="15.75" customHeight="1" x14ac:dyDescent="0.35">
      <c r="A502" s="21"/>
      <c r="B502" s="19"/>
      <c r="C502" s="20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</row>
    <row r="503" spans="1:17" ht="15.75" customHeight="1" x14ac:dyDescent="0.35">
      <c r="A503" s="21"/>
      <c r="B503" s="19"/>
      <c r="C503" s="20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</row>
    <row r="504" spans="1:17" ht="15.75" customHeight="1" x14ac:dyDescent="0.35">
      <c r="A504" s="21"/>
      <c r="B504" s="19"/>
      <c r="C504" s="20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</row>
    <row r="505" spans="1:17" ht="15.75" customHeight="1" x14ac:dyDescent="0.35">
      <c r="A505" s="21"/>
      <c r="B505" s="19"/>
      <c r="C505" s="20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</row>
    <row r="506" spans="1:17" ht="15.75" customHeight="1" x14ac:dyDescent="0.35">
      <c r="A506" s="21"/>
      <c r="B506" s="19"/>
      <c r="C506" s="20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</row>
    <row r="507" spans="1:17" ht="15.75" customHeight="1" x14ac:dyDescent="0.35">
      <c r="A507" s="21"/>
      <c r="B507" s="19"/>
      <c r="C507" s="20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</row>
    <row r="508" spans="1:17" ht="15.75" customHeight="1" x14ac:dyDescent="0.35">
      <c r="A508" s="21"/>
      <c r="B508" s="19"/>
      <c r="C508" s="20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</row>
    <row r="509" spans="1:17" ht="15.75" customHeight="1" x14ac:dyDescent="0.35">
      <c r="A509" s="21"/>
      <c r="B509" s="19"/>
      <c r="C509" s="20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</row>
    <row r="510" spans="1:17" ht="15.75" customHeight="1" x14ac:dyDescent="0.35">
      <c r="A510" s="21"/>
      <c r="B510" s="19"/>
      <c r="C510" s="20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</row>
    <row r="511" spans="1:17" ht="15.75" customHeight="1" x14ac:dyDescent="0.35">
      <c r="A511" s="21"/>
      <c r="B511" s="19"/>
      <c r="C511" s="20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</row>
    <row r="512" spans="1:17" ht="15.75" customHeight="1" x14ac:dyDescent="0.35">
      <c r="A512" s="21"/>
      <c r="B512" s="19"/>
      <c r="C512" s="20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</row>
    <row r="513" spans="1:17" ht="15.75" customHeight="1" x14ac:dyDescent="0.35">
      <c r="A513" s="21"/>
      <c r="B513" s="19"/>
      <c r="C513" s="20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</row>
    <row r="514" spans="1:17" ht="15.75" customHeight="1" x14ac:dyDescent="0.35">
      <c r="A514" s="21"/>
      <c r="B514" s="19"/>
      <c r="C514" s="20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</row>
    <row r="515" spans="1:17" ht="15.75" customHeight="1" x14ac:dyDescent="0.35">
      <c r="A515" s="21"/>
      <c r="B515" s="19"/>
      <c r="C515" s="20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</row>
    <row r="516" spans="1:17" ht="15.75" customHeight="1" x14ac:dyDescent="0.35">
      <c r="A516" s="21"/>
      <c r="B516" s="19"/>
      <c r="C516" s="20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</row>
    <row r="517" spans="1:17" ht="15.75" customHeight="1" x14ac:dyDescent="0.35">
      <c r="A517" s="21"/>
      <c r="B517" s="19"/>
      <c r="C517" s="20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</row>
    <row r="518" spans="1:17" ht="15.75" customHeight="1" x14ac:dyDescent="0.35">
      <c r="A518" s="21"/>
      <c r="B518" s="19"/>
      <c r="C518" s="20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</row>
    <row r="519" spans="1:17" ht="15.75" customHeight="1" x14ac:dyDescent="0.35">
      <c r="A519" s="21"/>
      <c r="B519" s="19"/>
      <c r="C519" s="20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</row>
    <row r="520" spans="1:17" ht="15.75" customHeight="1" x14ac:dyDescent="0.35">
      <c r="A520" s="21"/>
      <c r="B520" s="19"/>
      <c r="C520" s="20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</row>
    <row r="521" spans="1:17" ht="15.75" customHeight="1" x14ac:dyDescent="0.35">
      <c r="A521" s="21"/>
      <c r="B521" s="19"/>
      <c r="C521" s="20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</row>
    <row r="522" spans="1:17" ht="15.75" customHeight="1" x14ac:dyDescent="0.35">
      <c r="A522" s="21"/>
      <c r="B522" s="19"/>
      <c r="C522" s="20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</row>
    <row r="523" spans="1:17" ht="15.75" customHeight="1" x14ac:dyDescent="0.35">
      <c r="A523" s="21"/>
      <c r="B523" s="19"/>
      <c r="C523" s="20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</row>
    <row r="524" spans="1:17" ht="15.75" customHeight="1" x14ac:dyDescent="0.35">
      <c r="A524" s="21"/>
      <c r="B524" s="19"/>
      <c r="C524" s="20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</row>
    <row r="525" spans="1:17" ht="15.75" customHeight="1" x14ac:dyDescent="0.35">
      <c r="A525" s="21"/>
      <c r="B525" s="19"/>
      <c r="C525" s="20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</row>
    <row r="526" spans="1:17" ht="15.75" customHeight="1" x14ac:dyDescent="0.35">
      <c r="A526" s="21"/>
      <c r="B526" s="19"/>
      <c r="C526" s="20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</row>
    <row r="527" spans="1:17" ht="15.75" customHeight="1" x14ac:dyDescent="0.35">
      <c r="A527" s="21"/>
      <c r="B527" s="19"/>
      <c r="C527" s="20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</row>
    <row r="528" spans="1:17" ht="15.75" customHeight="1" x14ac:dyDescent="0.35">
      <c r="A528" s="21"/>
      <c r="B528" s="19"/>
      <c r="C528" s="20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</row>
    <row r="529" spans="1:17" ht="15.75" customHeight="1" x14ac:dyDescent="0.35">
      <c r="A529" s="21"/>
      <c r="B529" s="19"/>
      <c r="C529" s="20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</row>
    <row r="530" spans="1:17" ht="15.75" customHeight="1" x14ac:dyDescent="0.35">
      <c r="A530" s="21"/>
      <c r="B530" s="19"/>
      <c r="C530" s="20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</row>
    <row r="531" spans="1:17" ht="15.75" customHeight="1" x14ac:dyDescent="0.35">
      <c r="A531" s="21"/>
      <c r="B531" s="19"/>
      <c r="C531" s="20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</row>
    <row r="532" spans="1:17" ht="15.75" customHeight="1" x14ac:dyDescent="0.35">
      <c r="A532" s="21"/>
      <c r="B532" s="19"/>
      <c r="C532" s="20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</row>
    <row r="533" spans="1:17" ht="15.75" customHeight="1" x14ac:dyDescent="0.35">
      <c r="A533" s="21"/>
      <c r="B533" s="19"/>
      <c r="C533" s="20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</row>
    <row r="534" spans="1:17" ht="15.75" customHeight="1" x14ac:dyDescent="0.35">
      <c r="A534" s="21"/>
      <c r="B534" s="19"/>
      <c r="C534" s="20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</row>
    <row r="535" spans="1:17" ht="15.75" customHeight="1" x14ac:dyDescent="0.35">
      <c r="A535" s="21"/>
      <c r="B535" s="19"/>
      <c r="C535" s="20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</row>
    <row r="536" spans="1:17" ht="15.75" customHeight="1" x14ac:dyDescent="0.35">
      <c r="A536" s="21"/>
      <c r="B536" s="19"/>
      <c r="C536" s="20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</row>
    <row r="537" spans="1:17" ht="15.75" customHeight="1" x14ac:dyDescent="0.35">
      <c r="A537" s="21"/>
      <c r="B537" s="19"/>
      <c r="C537" s="20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</row>
    <row r="538" spans="1:17" ht="15.75" customHeight="1" x14ac:dyDescent="0.35">
      <c r="A538" s="21"/>
      <c r="B538" s="19"/>
      <c r="C538" s="20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</row>
    <row r="539" spans="1:17" ht="15.75" customHeight="1" x14ac:dyDescent="0.35">
      <c r="A539" s="21"/>
      <c r="B539" s="19"/>
      <c r="C539" s="20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</row>
    <row r="540" spans="1:17" ht="15.75" customHeight="1" x14ac:dyDescent="0.35">
      <c r="A540" s="21"/>
      <c r="B540" s="19"/>
      <c r="C540" s="20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</row>
    <row r="541" spans="1:17" ht="15.75" customHeight="1" x14ac:dyDescent="0.35">
      <c r="A541" s="21"/>
      <c r="B541" s="19"/>
      <c r="C541" s="20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</row>
    <row r="542" spans="1:17" ht="15.75" customHeight="1" x14ac:dyDescent="0.35">
      <c r="A542" s="21"/>
      <c r="B542" s="19"/>
      <c r="C542" s="20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</row>
    <row r="543" spans="1:17" ht="15.75" customHeight="1" x14ac:dyDescent="0.35">
      <c r="A543" s="21"/>
      <c r="B543" s="19"/>
      <c r="C543" s="20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</row>
    <row r="544" spans="1:17" ht="15.75" customHeight="1" x14ac:dyDescent="0.35">
      <c r="A544" s="21"/>
      <c r="B544" s="19"/>
      <c r="C544" s="20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</row>
    <row r="545" spans="1:17" ht="15.75" customHeight="1" x14ac:dyDescent="0.35">
      <c r="A545" s="21"/>
      <c r="B545" s="19"/>
      <c r="C545" s="20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</row>
    <row r="546" spans="1:17" ht="15.75" customHeight="1" x14ac:dyDescent="0.35">
      <c r="A546" s="21"/>
      <c r="B546" s="19"/>
      <c r="C546" s="20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</row>
    <row r="547" spans="1:17" ht="15.75" customHeight="1" x14ac:dyDescent="0.35">
      <c r="A547" s="21"/>
      <c r="B547" s="19"/>
      <c r="C547" s="20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</row>
    <row r="548" spans="1:17" ht="15.75" customHeight="1" x14ac:dyDescent="0.35">
      <c r="A548" s="21"/>
      <c r="B548" s="19"/>
      <c r="C548" s="20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</row>
    <row r="549" spans="1:17" ht="15.75" customHeight="1" x14ac:dyDescent="0.35">
      <c r="A549" s="21"/>
      <c r="B549" s="19"/>
      <c r="C549" s="20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</row>
    <row r="550" spans="1:17" ht="15.75" customHeight="1" x14ac:dyDescent="0.35">
      <c r="A550" s="21"/>
      <c r="B550" s="19"/>
      <c r="C550" s="20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</row>
    <row r="551" spans="1:17" ht="15.75" customHeight="1" x14ac:dyDescent="0.35">
      <c r="A551" s="21"/>
      <c r="B551" s="19"/>
      <c r="C551" s="20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</row>
    <row r="552" spans="1:17" ht="15.75" customHeight="1" x14ac:dyDescent="0.35">
      <c r="A552" s="21"/>
      <c r="B552" s="19"/>
      <c r="C552" s="20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</row>
    <row r="553" spans="1:17" ht="15.75" customHeight="1" x14ac:dyDescent="0.35">
      <c r="A553" s="21"/>
      <c r="B553" s="19"/>
      <c r="C553" s="20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</row>
    <row r="554" spans="1:17" ht="15.75" customHeight="1" x14ac:dyDescent="0.35">
      <c r="A554" s="21"/>
      <c r="B554" s="19"/>
      <c r="C554" s="20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</row>
    <row r="555" spans="1:17" ht="15.75" customHeight="1" x14ac:dyDescent="0.35">
      <c r="A555" s="21"/>
      <c r="B555" s="19"/>
      <c r="C555" s="20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</row>
    <row r="556" spans="1:17" ht="15.75" customHeight="1" x14ac:dyDescent="0.35">
      <c r="A556" s="21"/>
      <c r="B556" s="19"/>
      <c r="C556" s="20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</row>
    <row r="557" spans="1:17" ht="15.75" customHeight="1" x14ac:dyDescent="0.35">
      <c r="A557" s="21"/>
      <c r="B557" s="19"/>
      <c r="C557" s="20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</row>
    <row r="558" spans="1:17" ht="15.75" customHeight="1" x14ac:dyDescent="0.35">
      <c r="A558" s="21"/>
      <c r="B558" s="19"/>
      <c r="C558" s="20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</row>
    <row r="559" spans="1:17" ht="15.75" customHeight="1" x14ac:dyDescent="0.35">
      <c r="A559" s="21"/>
      <c r="B559" s="19"/>
      <c r="C559" s="20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</row>
    <row r="560" spans="1:17" ht="15.75" customHeight="1" x14ac:dyDescent="0.35">
      <c r="A560" s="21"/>
      <c r="B560" s="19"/>
      <c r="C560" s="20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</row>
    <row r="561" spans="1:17" ht="15.75" customHeight="1" x14ac:dyDescent="0.35">
      <c r="A561" s="21"/>
      <c r="B561" s="19"/>
      <c r="C561" s="20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</row>
    <row r="562" spans="1:17" ht="15.75" customHeight="1" x14ac:dyDescent="0.35">
      <c r="A562" s="21"/>
      <c r="B562" s="19"/>
      <c r="C562" s="20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</row>
    <row r="563" spans="1:17" ht="15.75" customHeight="1" x14ac:dyDescent="0.35">
      <c r="A563" s="21"/>
      <c r="B563" s="19"/>
      <c r="C563" s="20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</row>
    <row r="564" spans="1:17" ht="15.75" customHeight="1" x14ac:dyDescent="0.35">
      <c r="A564" s="21"/>
      <c r="B564" s="19"/>
      <c r="C564" s="20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</row>
    <row r="565" spans="1:17" ht="15.75" customHeight="1" x14ac:dyDescent="0.35">
      <c r="A565" s="21"/>
      <c r="B565" s="19"/>
      <c r="C565" s="20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</row>
    <row r="566" spans="1:17" ht="15.75" customHeight="1" x14ac:dyDescent="0.35">
      <c r="A566" s="21"/>
      <c r="B566" s="19"/>
      <c r="C566" s="20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</row>
    <row r="567" spans="1:17" ht="15.75" customHeight="1" x14ac:dyDescent="0.35">
      <c r="A567" s="21"/>
      <c r="B567" s="19"/>
      <c r="C567" s="20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</row>
    <row r="568" spans="1:17" ht="15.75" customHeight="1" x14ac:dyDescent="0.35">
      <c r="A568" s="21"/>
      <c r="B568" s="19"/>
      <c r="C568" s="20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</row>
    <row r="569" spans="1:17" ht="15.75" customHeight="1" x14ac:dyDescent="0.35">
      <c r="A569" s="21"/>
      <c r="B569" s="19"/>
      <c r="C569" s="20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</row>
    <row r="570" spans="1:17" ht="15.75" customHeight="1" x14ac:dyDescent="0.35">
      <c r="A570" s="21"/>
      <c r="B570" s="19"/>
      <c r="C570" s="20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</row>
    <row r="571" spans="1:17" ht="15.75" customHeight="1" x14ac:dyDescent="0.35">
      <c r="A571" s="21"/>
      <c r="B571" s="19"/>
      <c r="C571" s="20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</row>
    <row r="572" spans="1:17" ht="15.75" customHeight="1" x14ac:dyDescent="0.35">
      <c r="A572" s="21"/>
      <c r="B572" s="19"/>
      <c r="C572" s="20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</row>
    <row r="573" spans="1:17" ht="15.75" customHeight="1" x14ac:dyDescent="0.35">
      <c r="A573" s="21"/>
      <c r="B573" s="19"/>
      <c r="C573" s="20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</row>
    <row r="574" spans="1:17" ht="15.75" customHeight="1" x14ac:dyDescent="0.35">
      <c r="A574" s="21"/>
      <c r="B574" s="19"/>
      <c r="C574" s="20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</row>
    <row r="575" spans="1:17" ht="15.75" customHeight="1" x14ac:dyDescent="0.35">
      <c r="A575" s="21"/>
      <c r="B575" s="19"/>
      <c r="C575" s="20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</row>
    <row r="576" spans="1:17" ht="15.75" customHeight="1" x14ac:dyDescent="0.35">
      <c r="A576" s="21"/>
      <c r="B576" s="19"/>
      <c r="C576" s="20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</row>
    <row r="577" spans="1:17" ht="15.75" customHeight="1" x14ac:dyDescent="0.35">
      <c r="A577" s="21"/>
      <c r="B577" s="19"/>
      <c r="C577" s="20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</row>
    <row r="578" spans="1:17" ht="15.75" customHeight="1" x14ac:dyDescent="0.35">
      <c r="A578" s="21"/>
      <c r="B578" s="19"/>
      <c r="C578" s="20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</row>
    <row r="579" spans="1:17" ht="15.75" customHeight="1" x14ac:dyDescent="0.35">
      <c r="A579" s="21"/>
      <c r="B579" s="19"/>
      <c r="C579" s="20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</row>
    <row r="580" spans="1:17" ht="15.75" customHeight="1" x14ac:dyDescent="0.35">
      <c r="A580" s="21"/>
      <c r="B580" s="19"/>
      <c r="C580" s="20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</row>
    <row r="581" spans="1:17" ht="15.75" customHeight="1" x14ac:dyDescent="0.35">
      <c r="A581" s="21"/>
      <c r="B581" s="19"/>
      <c r="C581" s="20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</row>
    <row r="582" spans="1:17" ht="15.75" customHeight="1" x14ac:dyDescent="0.35">
      <c r="A582" s="21"/>
      <c r="B582" s="19"/>
      <c r="C582" s="20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</row>
    <row r="583" spans="1:17" ht="15.75" customHeight="1" x14ac:dyDescent="0.35">
      <c r="A583" s="21"/>
      <c r="B583" s="19"/>
      <c r="C583" s="20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</row>
    <row r="584" spans="1:17" ht="15.75" customHeight="1" x14ac:dyDescent="0.35">
      <c r="A584" s="21"/>
      <c r="B584" s="19"/>
      <c r="C584" s="20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</row>
    <row r="585" spans="1:17" ht="15.75" customHeight="1" x14ac:dyDescent="0.35">
      <c r="A585" s="21"/>
      <c r="B585" s="19"/>
      <c r="C585" s="20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</row>
    <row r="586" spans="1:17" ht="15.75" customHeight="1" x14ac:dyDescent="0.35">
      <c r="A586" s="21"/>
      <c r="B586" s="19"/>
      <c r="C586" s="20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</row>
    <row r="587" spans="1:17" ht="15.75" customHeight="1" x14ac:dyDescent="0.35">
      <c r="A587" s="21"/>
      <c r="B587" s="19"/>
      <c r="C587" s="20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</row>
    <row r="588" spans="1:17" ht="15.75" customHeight="1" x14ac:dyDescent="0.35">
      <c r="A588" s="21"/>
      <c r="B588" s="19"/>
      <c r="C588" s="20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</row>
    <row r="589" spans="1:17" ht="15.75" customHeight="1" x14ac:dyDescent="0.35">
      <c r="A589" s="21"/>
      <c r="B589" s="19"/>
      <c r="C589" s="20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</row>
    <row r="590" spans="1:17" ht="15.75" customHeight="1" x14ac:dyDescent="0.35">
      <c r="A590" s="21"/>
      <c r="B590" s="19"/>
      <c r="C590" s="20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</row>
    <row r="591" spans="1:17" ht="15.75" customHeight="1" x14ac:dyDescent="0.35">
      <c r="A591" s="21"/>
      <c r="B591" s="19"/>
      <c r="C591" s="20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</row>
    <row r="592" spans="1:17" ht="15.75" customHeight="1" x14ac:dyDescent="0.35">
      <c r="A592" s="21"/>
      <c r="B592" s="19"/>
      <c r="C592" s="20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</row>
    <row r="593" spans="1:17" ht="15.75" customHeight="1" x14ac:dyDescent="0.35">
      <c r="A593" s="21"/>
      <c r="B593" s="19"/>
      <c r="C593" s="20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</row>
    <row r="594" spans="1:17" ht="15.75" customHeight="1" x14ac:dyDescent="0.35">
      <c r="A594" s="21"/>
      <c r="B594" s="19"/>
      <c r="C594" s="20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</row>
    <row r="595" spans="1:17" ht="15.75" customHeight="1" x14ac:dyDescent="0.35">
      <c r="A595" s="21"/>
      <c r="B595" s="19"/>
      <c r="C595" s="20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</row>
    <row r="596" spans="1:17" ht="15.75" customHeight="1" x14ac:dyDescent="0.35">
      <c r="A596" s="21"/>
      <c r="B596" s="19"/>
      <c r="C596" s="20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</row>
    <row r="597" spans="1:17" ht="15.75" customHeight="1" x14ac:dyDescent="0.35">
      <c r="A597" s="21"/>
      <c r="B597" s="19"/>
      <c r="C597" s="20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</row>
    <row r="598" spans="1:17" ht="15.75" customHeight="1" x14ac:dyDescent="0.35">
      <c r="A598" s="21"/>
      <c r="B598" s="19"/>
      <c r="C598" s="20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</row>
    <row r="599" spans="1:17" ht="15.75" customHeight="1" x14ac:dyDescent="0.35">
      <c r="A599" s="21"/>
      <c r="B599" s="19"/>
      <c r="C599" s="20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</row>
    <row r="600" spans="1:17" ht="15.75" customHeight="1" x14ac:dyDescent="0.35">
      <c r="A600" s="21"/>
      <c r="B600" s="19"/>
      <c r="C600" s="20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</row>
    <row r="601" spans="1:17" ht="15.75" customHeight="1" x14ac:dyDescent="0.35">
      <c r="A601" s="21"/>
      <c r="B601" s="19"/>
      <c r="C601" s="20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</row>
    <row r="602" spans="1:17" ht="15.75" customHeight="1" x14ac:dyDescent="0.35">
      <c r="A602" s="21"/>
      <c r="B602" s="19"/>
      <c r="C602" s="20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</row>
    <row r="603" spans="1:17" ht="15.75" customHeight="1" x14ac:dyDescent="0.35">
      <c r="A603" s="21"/>
      <c r="B603" s="19"/>
      <c r="C603" s="20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</row>
    <row r="604" spans="1:17" ht="15.75" customHeight="1" x14ac:dyDescent="0.35">
      <c r="A604" s="21"/>
      <c r="B604" s="19"/>
      <c r="C604" s="20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</row>
    <row r="605" spans="1:17" ht="15.75" customHeight="1" x14ac:dyDescent="0.35">
      <c r="A605" s="21"/>
      <c r="B605" s="19"/>
      <c r="C605" s="20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</row>
    <row r="606" spans="1:17" ht="15.75" customHeight="1" x14ac:dyDescent="0.35">
      <c r="A606" s="21"/>
      <c r="B606" s="19"/>
      <c r="C606" s="20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</row>
    <row r="607" spans="1:17" ht="15.75" customHeight="1" x14ac:dyDescent="0.35">
      <c r="A607" s="21"/>
      <c r="B607" s="19"/>
      <c r="C607" s="20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</row>
    <row r="608" spans="1:17" ht="15.75" customHeight="1" x14ac:dyDescent="0.35">
      <c r="A608" s="21"/>
      <c r="B608" s="19"/>
      <c r="C608" s="20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</row>
    <row r="609" spans="1:17" ht="15.75" customHeight="1" x14ac:dyDescent="0.35">
      <c r="A609" s="21"/>
      <c r="B609" s="19"/>
      <c r="C609" s="20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</row>
    <row r="610" spans="1:17" ht="15.75" customHeight="1" x14ac:dyDescent="0.35">
      <c r="A610" s="21"/>
      <c r="B610" s="19"/>
      <c r="C610" s="20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</row>
    <row r="611" spans="1:17" ht="15.75" customHeight="1" x14ac:dyDescent="0.35">
      <c r="A611" s="21"/>
      <c r="B611" s="19"/>
      <c r="C611" s="20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</row>
    <row r="612" spans="1:17" ht="15.75" customHeight="1" x14ac:dyDescent="0.35">
      <c r="A612" s="21"/>
      <c r="B612" s="19"/>
      <c r="C612" s="20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</row>
    <row r="613" spans="1:17" ht="15.75" customHeight="1" x14ac:dyDescent="0.35">
      <c r="A613" s="21"/>
      <c r="B613" s="19"/>
      <c r="C613" s="20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</row>
    <row r="614" spans="1:17" ht="15.75" customHeight="1" x14ac:dyDescent="0.35">
      <c r="A614" s="21"/>
      <c r="B614" s="19"/>
      <c r="C614" s="20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</row>
    <row r="615" spans="1:17" ht="15.75" customHeight="1" x14ac:dyDescent="0.35">
      <c r="A615" s="21"/>
      <c r="B615" s="19"/>
      <c r="C615" s="20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</row>
    <row r="616" spans="1:17" ht="15.75" customHeight="1" x14ac:dyDescent="0.35">
      <c r="A616" s="21"/>
      <c r="B616" s="19"/>
      <c r="C616" s="20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</row>
    <row r="617" spans="1:17" ht="15.75" customHeight="1" x14ac:dyDescent="0.35">
      <c r="A617" s="21"/>
      <c r="B617" s="19"/>
      <c r="C617" s="20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</row>
    <row r="618" spans="1:17" ht="15.75" customHeight="1" x14ac:dyDescent="0.35">
      <c r="A618" s="21"/>
      <c r="B618" s="19"/>
      <c r="C618" s="20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</row>
    <row r="619" spans="1:17" ht="15.75" customHeight="1" x14ac:dyDescent="0.35">
      <c r="A619" s="21"/>
      <c r="B619" s="19"/>
      <c r="C619" s="20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</row>
    <row r="620" spans="1:17" ht="15.75" customHeight="1" x14ac:dyDescent="0.35">
      <c r="A620" s="21"/>
      <c r="B620" s="19"/>
      <c r="C620" s="20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</row>
    <row r="621" spans="1:17" ht="15.75" customHeight="1" x14ac:dyDescent="0.35">
      <c r="A621" s="21"/>
      <c r="B621" s="19"/>
      <c r="C621" s="20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</row>
    <row r="622" spans="1:17" ht="15.75" customHeight="1" x14ac:dyDescent="0.35">
      <c r="A622" s="21"/>
      <c r="B622" s="19"/>
      <c r="C622" s="20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</row>
    <row r="623" spans="1:17" ht="15.75" customHeight="1" x14ac:dyDescent="0.35">
      <c r="A623" s="21"/>
      <c r="B623" s="19"/>
      <c r="C623" s="20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</row>
    <row r="624" spans="1:17" ht="15.75" customHeight="1" x14ac:dyDescent="0.35">
      <c r="A624" s="21"/>
      <c r="B624" s="19"/>
      <c r="C624" s="20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</row>
    <row r="625" spans="1:17" ht="15.75" customHeight="1" x14ac:dyDescent="0.35">
      <c r="A625" s="21"/>
      <c r="B625" s="19"/>
      <c r="C625" s="20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</row>
    <row r="626" spans="1:17" ht="15.75" customHeight="1" x14ac:dyDescent="0.35">
      <c r="A626" s="21"/>
      <c r="B626" s="19"/>
      <c r="C626" s="20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</row>
    <row r="627" spans="1:17" ht="15.75" customHeight="1" x14ac:dyDescent="0.35">
      <c r="A627" s="21"/>
      <c r="B627" s="19"/>
      <c r="C627" s="20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</row>
    <row r="628" spans="1:17" ht="15.75" customHeight="1" x14ac:dyDescent="0.35">
      <c r="A628" s="21"/>
      <c r="B628" s="19"/>
      <c r="C628" s="20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</row>
    <row r="629" spans="1:17" ht="15.75" customHeight="1" x14ac:dyDescent="0.35">
      <c r="A629" s="21"/>
      <c r="B629" s="19"/>
      <c r="C629" s="20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</row>
    <row r="630" spans="1:17" ht="15.75" customHeight="1" x14ac:dyDescent="0.35">
      <c r="A630" s="21"/>
      <c r="B630" s="19"/>
      <c r="C630" s="20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</row>
    <row r="631" spans="1:17" ht="15.75" customHeight="1" x14ac:dyDescent="0.35">
      <c r="A631" s="21"/>
      <c r="B631" s="19"/>
      <c r="C631" s="20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</row>
    <row r="632" spans="1:17" ht="15.75" customHeight="1" x14ac:dyDescent="0.35">
      <c r="A632" s="21"/>
      <c r="B632" s="19"/>
      <c r="C632" s="20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</row>
    <row r="633" spans="1:17" ht="15.75" customHeight="1" x14ac:dyDescent="0.35">
      <c r="A633" s="21"/>
      <c r="B633" s="19"/>
      <c r="C633" s="20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</row>
    <row r="634" spans="1:17" ht="15.75" customHeight="1" x14ac:dyDescent="0.35">
      <c r="A634" s="21"/>
      <c r="B634" s="19"/>
      <c r="C634" s="20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</row>
    <row r="635" spans="1:17" ht="15.75" customHeight="1" x14ac:dyDescent="0.35">
      <c r="A635" s="21"/>
      <c r="B635" s="19"/>
      <c r="C635" s="20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</row>
    <row r="636" spans="1:17" ht="15.75" customHeight="1" x14ac:dyDescent="0.35">
      <c r="A636" s="21"/>
      <c r="B636" s="19"/>
      <c r="C636" s="20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</row>
    <row r="637" spans="1:17" ht="15.75" customHeight="1" x14ac:dyDescent="0.35">
      <c r="A637" s="21"/>
      <c r="B637" s="19"/>
      <c r="C637" s="20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</row>
    <row r="638" spans="1:17" ht="15.75" customHeight="1" x14ac:dyDescent="0.35">
      <c r="A638" s="21"/>
      <c r="B638" s="19"/>
      <c r="C638" s="20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</row>
    <row r="639" spans="1:17" ht="15.75" customHeight="1" x14ac:dyDescent="0.35">
      <c r="A639" s="21"/>
      <c r="B639" s="19"/>
      <c r="C639" s="20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</row>
    <row r="640" spans="1:17" ht="15.75" customHeight="1" x14ac:dyDescent="0.35">
      <c r="A640" s="21"/>
      <c r="B640" s="19"/>
      <c r="C640" s="20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</row>
    <row r="641" spans="1:17" ht="15.75" customHeight="1" x14ac:dyDescent="0.35">
      <c r="A641" s="21"/>
      <c r="B641" s="19"/>
      <c r="C641" s="20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</row>
    <row r="642" spans="1:17" ht="15.75" customHeight="1" x14ac:dyDescent="0.35">
      <c r="A642" s="21"/>
      <c r="B642" s="19"/>
      <c r="C642" s="20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</row>
    <row r="643" spans="1:17" ht="15.75" customHeight="1" x14ac:dyDescent="0.35">
      <c r="A643" s="21"/>
      <c r="B643" s="19"/>
      <c r="C643" s="20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</row>
    <row r="644" spans="1:17" ht="15.75" customHeight="1" x14ac:dyDescent="0.35">
      <c r="A644" s="21"/>
      <c r="B644" s="19"/>
      <c r="C644" s="20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</row>
    <row r="645" spans="1:17" ht="15.75" customHeight="1" x14ac:dyDescent="0.35">
      <c r="A645" s="21"/>
      <c r="B645" s="19"/>
      <c r="C645" s="20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</row>
    <row r="646" spans="1:17" ht="15.75" customHeight="1" x14ac:dyDescent="0.35">
      <c r="A646" s="21"/>
      <c r="B646" s="19"/>
      <c r="C646" s="20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</row>
    <row r="647" spans="1:17" ht="15.75" customHeight="1" x14ac:dyDescent="0.35">
      <c r="A647" s="21"/>
      <c r="B647" s="19"/>
      <c r="C647" s="20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</row>
    <row r="648" spans="1:17" ht="15.75" customHeight="1" x14ac:dyDescent="0.35">
      <c r="A648" s="21"/>
      <c r="B648" s="19"/>
      <c r="C648" s="20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</row>
    <row r="649" spans="1:17" ht="15.75" customHeight="1" x14ac:dyDescent="0.35">
      <c r="A649" s="21"/>
      <c r="B649" s="19"/>
      <c r="C649" s="20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</row>
    <row r="650" spans="1:17" ht="15.75" customHeight="1" x14ac:dyDescent="0.35">
      <c r="A650" s="21"/>
      <c r="B650" s="19"/>
      <c r="C650" s="20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</row>
    <row r="651" spans="1:17" ht="15.75" customHeight="1" x14ac:dyDescent="0.35">
      <c r="A651" s="21"/>
      <c r="B651" s="19"/>
      <c r="C651" s="20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</row>
    <row r="652" spans="1:17" ht="15.75" customHeight="1" x14ac:dyDescent="0.35">
      <c r="A652" s="21"/>
      <c r="B652" s="19"/>
      <c r="C652" s="20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</row>
    <row r="653" spans="1:17" ht="15.75" customHeight="1" x14ac:dyDescent="0.35">
      <c r="A653" s="21"/>
      <c r="B653" s="19"/>
      <c r="C653" s="20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</row>
    <row r="654" spans="1:17" ht="15.75" customHeight="1" x14ac:dyDescent="0.35">
      <c r="A654" s="21"/>
      <c r="B654" s="19"/>
      <c r="C654" s="20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</row>
    <row r="655" spans="1:17" ht="15.75" customHeight="1" x14ac:dyDescent="0.35">
      <c r="A655" s="21"/>
      <c r="B655" s="19"/>
      <c r="C655" s="20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</row>
    <row r="656" spans="1:17" ht="15.75" customHeight="1" x14ac:dyDescent="0.35">
      <c r="A656" s="21"/>
      <c r="B656" s="19"/>
      <c r="C656" s="20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</row>
    <row r="657" spans="1:17" ht="15.75" customHeight="1" x14ac:dyDescent="0.35">
      <c r="A657" s="21"/>
      <c r="B657" s="19"/>
      <c r="C657" s="20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</row>
    <row r="658" spans="1:17" ht="15.75" customHeight="1" x14ac:dyDescent="0.35">
      <c r="A658" s="21"/>
      <c r="B658" s="19"/>
      <c r="C658" s="20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</row>
    <row r="659" spans="1:17" ht="15.75" customHeight="1" x14ac:dyDescent="0.35">
      <c r="A659" s="21"/>
      <c r="B659" s="19"/>
      <c r="C659" s="20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</row>
    <row r="660" spans="1:17" ht="15.75" customHeight="1" x14ac:dyDescent="0.35">
      <c r="A660" s="21"/>
      <c r="B660" s="19"/>
      <c r="C660" s="20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</row>
    <row r="661" spans="1:17" ht="15.75" customHeight="1" x14ac:dyDescent="0.35">
      <c r="A661" s="21"/>
      <c r="B661" s="19"/>
      <c r="C661" s="20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</row>
    <row r="662" spans="1:17" ht="15.75" customHeight="1" x14ac:dyDescent="0.35">
      <c r="A662" s="21"/>
      <c r="B662" s="19"/>
      <c r="C662" s="20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</row>
    <row r="663" spans="1:17" ht="15.75" customHeight="1" x14ac:dyDescent="0.35">
      <c r="A663" s="21"/>
      <c r="B663" s="19"/>
      <c r="C663" s="20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</row>
    <row r="664" spans="1:17" ht="15.75" customHeight="1" x14ac:dyDescent="0.35">
      <c r="A664" s="21"/>
      <c r="B664" s="19"/>
      <c r="C664" s="20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</row>
    <row r="665" spans="1:17" ht="15.75" customHeight="1" x14ac:dyDescent="0.35">
      <c r="A665" s="21"/>
      <c r="B665" s="19"/>
      <c r="C665" s="20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</row>
    <row r="666" spans="1:17" ht="15.75" customHeight="1" x14ac:dyDescent="0.35">
      <c r="A666" s="21"/>
      <c r="B666" s="19"/>
      <c r="C666" s="20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</row>
    <row r="667" spans="1:17" ht="15.75" customHeight="1" x14ac:dyDescent="0.35">
      <c r="A667" s="21"/>
      <c r="B667" s="19"/>
      <c r="C667" s="20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</row>
    <row r="668" spans="1:17" ht="15.75" customHeight="1" x14ac:dyDescent="0.35">
      <c r="A668" s="21"/>
      <c r="B668" s="19"/>
      <c r="C668" s="20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</row>
    <row r="669" spans="1:17" ht="15.75" customHeight="1" x14ac:dyDescent="0.35">
      <c r="A669" s="21"/>
      <c r="B669" s="19"/>
      <c r="C669" s="20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</row>
    <row r="670" spans="1:17" ht="15.75" customHeight="1" x14ac:dyDescent="0.35">
      <c r="A670" s="21"/>
      <c r="B670" s="19"/>
      <c r="C670" s="20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</row>
    <row r="671" spans="1:17" ht="15.75" customHeight="1" x14ac:dyDescent="0.35">
      <c r="A671" s="21"/>
      <c r="B671" s="19"/>
      <c r="C671" s="20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</row>
    <row r="672" spans="1:17" ht="15.75" customHeight="1" x14ac:dyDescent="0.35">
      <c r="A672" s="21"/>
      <c r="B672" s="19"/>
      <c r="C672" s="20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</row>
    <row r="673" spans="1:17" ht="15.75" customHeight="1" x14ac:dyDescent="0.35">
      <c r="A673" s="21"/>
      <c r="B673" s="19"/>
      <c r="C673" s="20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</row>
    <row r="674" spans="1:17" ht="15.75" customHeight="1" x14ac:dyDescent="0.35">
      <c r="A674" s="21"/>
      <c r="B674" s="19"/>
      <c r="C674" s="20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</row>
    <row r="675" spans="1:17" ht="15.75" customHeight="1" x14ac:dyDescent="0.35">
      <c r="A675" s="21"/>
      <c r="B675" s="19"/>
      <c r="C675" s="20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</row>
    <row r="676" spans="1:17" ht="15.75" customHeight="1" x14ac:dyDescent="0.35">
      <c r="A676" s="21"/>
      <c r="B676" s="19"/>
      <c r="C676" s="20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</row>
    <row r="677" spans="1:17" ht="15.75" customHeight="1" x14ac:dyDescent="0.35">
      <c r="A677" s="21"/>
      <c r="B677" s="19"/>
      <c r="C677" s="20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</row>
    <row r="678" spans="1:17" ht="15.75" customHeight="1" x14ac:dyDescent="0.35">
      <c r="A678" s="21"/>
      <c r="B678" s="19"/>
      <c r="C678" s="20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</row>
    <row r="679" spans="1:17" ht="15.75" customHeight="1" x14ac:dyDescent="0.35">
      <c r="A679" s="21"/>
      <c r="B679" s="19"/>
      <c r="C679" s="20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</row>
    <row r="680" spans="1:17" ht="15.75" customHeight="1" x14ac:dyDescent="0.35">
      <c r="A680" s="21"/>
      <c r="B680" s="19"/>
      <c r="C680" s="20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</row>
    <row r="681" spans="1:17" ht="15.75" customHeight="1" x14ac:dyDescent="0.35">
      <c r="A681" s="21"/>
      <c r="B681" s="19"/>
      <c r="C681" s="20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</row>
    <row r="682" spans="1:17" ht="15.75" customHeight="1" x14ac:dyDescent="0.35">
      <c r="A682" s="21"/>
      <c r="B682" s="19"/>
      <c r="C682" s="20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</row>
    <row r="683" spans="1:17" ht="15.75" customHeight="1" x14ac:dyDescent="0.35">
      <c r="A683" s="21"/>
      <c r="B683" s="19"/>
      <c r="C683" s="20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</row>
    <row r="684" spans="1:17" ht="15.75" customHeight="1" x14ac:dyDescent="0.35">
      <c r="A684" s="21"/>
      <c r="B684" s="19"/>
      <c r="C684" s="20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</row>
    <row r="685" spans="1:17" ht="15.75" customHeight="1" x14ac:dyDescent="0.35">
      <c r="A685" s="21"/>
      <c r="B685" s="19"/>
      <c r="C685" s="20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</row>
    <row r="686" spans="1:17" ht="15.75" customHeight="1" x14ac:dyDescent="0.35">
      <c r="A686" s="21"/>
      <c r="B686" s="19"/>
      <c r="C686" s="20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</row>
    <row r="687" spans="1:17" ht="15.75" customHeight="1" x14ac:dyDescent="0.35">
      <c r="A687" s="21"/>
      <c r="B687" s="19"/>
      <c r="C687" s="20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</row>
    <row r="688" spans="1:17" ht="15.75" customHeight="1" x14ac:dyDescent="0.35">
      <c r="A688" s="21"/>
      <c r="B688" s="19"/>
      <c r="C688" s="20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</row>
    <row r="689" spans="1:17" ht="15.75" customHeight="1" x14ac:dyDescent="0.35">
      <c r="A689" s="21"/>
      <c r="B689" s="19"/>
      <c r="C689" s="20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</row>
    <row r="690" spans="1:17" ht="15.75" customHeight="1" x14ac:dyDescent="0.35">
      <c r="A690" s="21"/>
      <c r="B690" s="19"/>
      <c r="C690" s="20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</row>
    <row r="691" spans="1:17" ht="15.75" customHeight="1" x14ac:dyDescent="0.35">
      <c r="A691" s="21"/>
      <c r="B691" s="19"/>
      <c r="C691" s="20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</row>
    <row r="692" spans="1:17" ht="15.75" customHeight="1" x14ac:dyDescent="0.35">
      <c r="A692" s="21"/>
      <c r="B692" s="19"/>
      <c r="C692" s="20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</row>
    <row r="693" spans="1:17" ht="15.75" customHeight="1" x14ac:dyDescent="0.35">
      <c r="A693" s="21"/>
      <c r="B693" s="19"/>
      <c r="C693" s="20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</row>
    <row r="694" spans="1:17" ht="15.75" customHeight="1" x14ac:dyDescent="0.35">
      <c r="A694" s="21"/>
      <c r="B694" s="19"/>
      <c r="C694" s="20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</row>
    <row r="695" spans="1:17" ht="15.75" customHeight="1" x14ac:dyDescent="0.35">
      <c r="A695" s="21"/>
      <c r="B695" s="19"/>
      <c r="C695" s="20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</row>
    <row r="696" spans="1:17" ht="15.75" customHeight="1" x14ac:dyDescent="0.35">
      <c r="A696" s="21"/>
      <c r="B696" s="19"/>
      <c r="C696" s="20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</row>
    <row r="697" spans="1:17" ht="15.75" customHeight="1" x14ac:dyDescent="0.35">
      <c r="A697" s="21"/>
      <c r="B697" s="19"/>
      <c r="C697" s="20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</row>
    <row r="698" spans="1:17" ht="15.75" customHeight="1" x14ac:dyDescent="0.35">
      <c r="A698" s="21"/>
      <c r="B698" s="19"/>
      <c r="C698" s="20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</row>
    <row r="699" spans="1:17" ht="15.75" customHeight="1" x14ac:dyDescent="0.35">
      <c r="A699" s="21"/>
      <c r="B699" s="19"/>
      <c r="C699" s="20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</row>
    <row r="700" spans="1:17" ht="15.75" customHeight="1" x14ac:dyDescent="0.35">
      <c r="A700" s="21"/>
      <c r="B700" s="19"/>
      <c r="C700" s="20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</row>
    <row r="701" spans="1:17" ht="15.75" customHeight="1" x14ac:dyDescent="0.35">
      <c r="A701" s="21"/>
      <c r="B701" s="19"/>
      <c r="C701" s="20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</row>
    <row r="702" spans="1:17" ht="15.75" customHeight="1" x14ac:dyDescent="0.35">
      <c r="A702" s="21"/>
      <c r="B702" s="19"/>
      <c r="C702" s="20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</row>
    <row r="703" spans="1:17" ht="15.75" customHeight="1" x14ac:dyDescent="0.35">
      <c r="A703" s="21"/>
      <c r="B703" s="19"/>
      <c r="C703" s="20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</row>
    <row r="704" spans="1:17" ht="15.75" customHeight="1" x14ac:dyDescent="0.35">
      <c r="A704" s="21"/>
      <c r="B704" s="19"/>
      <c r="C704" s="20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</row>
    <row r="705" spans="1:17" ht="15.75" customHeight="1" x14ac:dyDescent="0.35">
      <c r="A705" s="21"/>
      <c r="B705" s="19"/>
      <c r="C705" s="20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</row>
    <row r="706" spans="1:17" ht="15.75" customHeight="1" x14ac:dyDescent="0.35">
      <c r="A706" s="21"/>
      <c r="B706" s="19"/>
      <c r="C706" s="20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</row>
    <row r="707" spans="1:17" ht="15.75" customHeight="1" x14ac:dyDescent="0.35">
      <c r="A707" s="21"/>
      <c r="B707" s="19"/>
      <c r="C707" s="20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</row>
    <row r="708" spans="1:17" ht="15.75" customHeight="1" x14ac:dyDescent="0.35">
      <c r="A708" s="21"/>
      <c r="B708" s="19"/>
      <c r="C708" s="20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</row>
    <row r="709" spans="1:17" ht="15.75" customHeight="1" x14ac:dyDescent="0.35">
      <c r="A709" s="21"/>
      <c r="B709" s="19"/>
      <c r="C709" s="20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</row>
    <row r="710" spans="1:17" ht="15.75" customHeight="1" x14ac:dyDescent="0.35">
      <c r="A710" s="21"/>
      <c r="B710" s="19"/>
      <c r="C710" s="20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</row>
    <row r="711" spans="1:17" ht="15.75" customHeight="1" x14ac:dyDescent="0.35">
      <c r="A711" s="21"/>
      <c r="B711" s="19"/>
      <c r="C711" s="20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</row>
    <row r="712" spans="1:17" ht="15.75" customHeight="1" x14ac:dyDescent="0.35">
      <c r="A712" s="21"/>
      <c r="B712" s="19"/>
      <c r="C712" s="20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</row>
    <row r="713" spans="1:17" ht="15.75" customHeight="1" x14ac:dyDescent="0.35">
      <c r="A713" s="21"/>
      <c r="B713" s="19"/>
      <c r="C713" s="20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</row>
    <row r="714" spans="1:17" ht="15.75" customHeight="1" x14ac:dyDescent="0.35">
      <c r="A714" s="21"/>
      <c r="B714" s="19"/>
      <c r="C714" s="20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</row>
    <row r="715" spans="1:17" ht="15.75" customHeight="1" x14ac:dyDescent="0.35">
      <c r="A715" s="21"/>
      <c r="B715" s="19"/>
      <c r="C715" s="20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</row>
    <row r="716" spans="1:17" ht="15.75" customHeight="1" x14ac:dyDescent="0.35">
      <c r="A716" s="21"/>
      <c r="B716" s="19"/>
      <c r="C716" s="20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</row>
    <row r="717" spans="1:17" ht="15.75" customHeight="1" x14ac:dyDescent="0.35">
      <c r="A717" s="21"/>
      <c r="B717" s="19"/>
      <c r="C717" s="20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</row>
    <row r="718" spans="1:17" ht="15.75" customHeight="1" x14ac:dyDescent="0.35">
      <c r="A718" s="21"/>
      <c r="B718" s="19"/>
      <c r="C718" s="20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</row>
    <row r="719" spans="1:17" ht="15.75" customHeight="1" x14ac:dyDescent="0.35">
      <c r="A719" s="21"/>
      <c r="B719" s="19"/>
      <c r="C719" s="20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</row>
    <row r="720" spans="1:17" ht="15.75" customHeight="1" x14ac:dyDescent="0.35">
      <c r="A720" s="21"/>
      <c r="B720" s="19"/>
      <c r="C720" s="20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</row>
    <row r="721" spans="1:17" ht="15.75" customHeight="1" x14ac:dyDescent="0.35">
      <c r="A721" s="21"/>
      <c r="B721" s="19"/>
      <c r="C721" s="20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</row>
    <row r="722" spans="1:17" ht="15.75" customHeight="1" x14ac:dyDescent="0.35">
      <c r="A722" s="21"/>
      <c r="B722" s="19"/>
      <c r="C722" s="20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</row>
    <row r="723" spans="1:17" ht="15.75" customHeight="1" x14ac:dyDescent="0.35">
      <c r="A723" s="21"/>
      <c r="B723" s="19"/>
      <c r="C723" s="20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</row>
    <row r="724" spans="1:17" ht="15.75" customHeight="1" x14ac:dyDescent="0.35">
      <c r="A724" s="21"/>
      <c r="B724" s="19"/>
      <c r="C724" s="20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</row>
    <row r="725" spans="1:17" ht="15.75" customHeight="1" x14ac:dyDescent="0.35">
      <c r="A725" s="21"/>
      <c r="B725" s="19"/>
      <c r="C725" s="20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</row>
    <row r="726" spans="1:17" ht="15.75" customHeight="1" x14ac:dyDescent="0.35">
      <c r="A726" s="21"/>
      <c r="B726" s="19"/>
      <c r="C726" s="20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</row>
    <row r="727" spans="1:17" ht="15.75" customHeight="1" x14ac:dyDescent="0.35">
      <c r="A727" s="21"/>
      <c r="B727" s="19"/>
      <c r="C727" s="20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</row>
    <row r="728" spans="1:17" ht="15.75" customHeight="1" x14ac:dyDescent="0.35">
      <c r="A728" s="21"/>
      <c r="B728" s="19"/>
      <c r="C728" s="20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</row>
    <row r="729" spans="1:17" ht="15.75" customHeight="1" x14ac:dyDescent="0.35">
      <c r="A729" s="21"/>
      <c r="B729" s="19"/>
      <c r="C729" s="20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</row>
    <row r="730" spans="1:17" ht="15.75" customHeight="1" x14ac:dyDescent="0.35">
      <c r="A730" s="21"/>
      <c r="B730" s="19"/>
      <c r="C730" s="20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</row>
    <row r="731" spans="1:17" ht="15.75" customHeight="1" x14ac:dyDescent="0.35">
      <c r="A731" s="21"/>
      <c r="B731" s="19"/>
      <c r="C731" s="20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</row>
    <row r="732" spans="1:17" ht="15.75" customHeight="1" x14ac:dyDescent="0.35">
      <c r="A732" s="21"/>
      <c r="B732" s="19"/>
      <c r="C732" s="20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</row>
    <row r="733" spans="1:17" ht="15.75" customHeight="1" x14ac:dyDescent="0.35">
      <c r="A733" s="21"/>
      <c r="B733" s="19"/>
      <c r="C733" s="20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</row>
    <row r="734" spans="1:17" ht="15.75" customHeight="1" x14ac:dyDescent="0.35">
      <c r="A734" s="21"/>
      <c r="B734" s="19"/>
      <c r="C734" s="20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</row>
    <row r="735" spans="1:17" ht="15.75" customHeight="1" x14ac:dyDescent="0.35">
      <c r="A735" s="21"/>
      <c r="B735" s="19"/>
      <c r="C735" s="20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</row>
    <row r="736" spans="1:17" ht="15.75" customHeight="1" x14ac:dyDescent="0.35">
      <c r="A736" s="21"/>
      <c r="B736" s="19"/>
      <c r="C736" s="20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</row>
    <row r="737" spans="1:17" ht="15.75" customHeight="1" x14ac:dyDescent="0.35">
      <c r="A737" s="21"/>
      <c r="B737" s="19"/>
      <c r="C737" s="20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</row>
    <row r="738" spans="1:17" ht="15.75" customHeight="1" x14ac:dyDescent="0.35">
      <c r="A738" s="21"/>
      <c r="B738" s="19"/>
      <c r="C738" s="20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</row>
    <row r="739" spans="1:17" ht="15.75" customHeight="1" x14ac:dyDescent="0.35">
      <c r="A739" s="21"/>
      <c r="B739" s="19"/>
      <c r="C739" s="20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</row>
    <row r="740" spans="1:17" ht="15.75" customHeight="1" x14ac:dyDescent="0.35">
      <c r="A740" s="21"/>
      <c r="B740" s="19"/>
      <c r="C740" s="20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</row>
    <row r="741" spans="1:17" ht="15.75" customHeight="1" x14ac:dyDescent="0.35">
      <c r="A741" s="21"/>
      <c r="B741" s="19"/>
      <c r="C741" s="20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</row>
    <row r="742" spans="1:17" ht="15.75" customHeight="1" x14ac:dyDescent="0.35">
      <c r="A742" s="21"/>
      <c r="B742" s="19"/>
      <c r="C742" s="20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</row>
    <row r="743" spans="1:17" ht="15.75" customHeight="1" x14ac:dyDescent="0.35">
      <c r="A743" s="21"/>
      <c r="B743" s="19"/>
      <c r="C743" s="20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</row>
    <row r="744" spans="1:17" ht="15.75" customHeight="1" x14ac:dyDescent="0.35">
      <c r="A744" s="21"/>
      <c r="B744" s="19"/>
      <c r="C744" s="20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</row>
    <row r="745" spans="1:17" ht="15.75" customHeight="1" x14ac:dyDescent="0.35">
      <c r="A745" s="21"/>
      <c r="B745" s="19"/>
      <c r="C745" s="20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</row>
    <row r="746" spans="1:17" ht="15.75" customHeight="1" x14ac:dyDescent="0.35">
      <c r="A746" s="21"/>
      <c r="B746" s="19"/>
      <c r="C746" s="20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</row>
    <row r="747" spans="1:17" ht="15.75" customHeight="1" x14ac:dyDescent="0.35">
      <c r="A747" s="21"/>
      <c r="B747" s="19"/>
      <c r="C747" s="20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</row>
    <row r="748" spans="1:17" ht="15.75" customHeight="1" x14ac:dyDescent="0.35">
      <c r="A748" s="21"/>
      <c r="B748" s="19"/>
      <c r="C748" s="20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</row>
    <row r="749" spans="1:17" ht="15.75" customHeight="1" x14ac:dyDescent="0.35">
      <c r="A749" s="21"/>
      <c r="B749" s="19"/>
      <c r="C749" s="20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</row>
    <row r="750" spans="1:17" ht="15.75" customHeight="1" x14ac:dyDescent="0.35">
      <c r="A750" s="21"/>
      <c r="B750" s="19"/>
      <c r="C750" s="20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</row>
    <row r="751" spans="1:17" ht="15.75" customHeight="1" x14ac:dyDescent="0.35">
      <c r="A751" s="21"/>
      <c r="B751" s="19"/>
      <c r="C751" s="20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</row>
    <row r="752" spans="1:17" ht="15.75" customHeight="1" x14ac:dyDescent="0.35">
      <c r="A752" s="21"/>
      <c r="B752" s="19"/>
      <c r="C752" s="20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</row>
    <row r="753" spans="1:17" ht="15.75" customHeight="1" x14ac:dyDescent="0.35">
      <c r="A753" s="21"/>
      <c r="B753" s="19"/>
      <c r="C753" s="20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</row>
    <row r="754" spans="1:17" ht="15.75" customHeight="1" x14ac:dyDescent="0.35">
      <c r="A754" s="21"/>
      <c r="B754" s="19"/>
      <c r="C754" s="20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</row>
    <row r="755" spans="1:17" ht="15.75" customHeight="1" x14ac:dyDescent="0.35">
      <c r="A755" s="21"/>
      <c r="B755" s="19"/>
      <c r="C755" s="20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</row>
    <row r="756" spans="1:17" ht="15.75" customHeight="1" x14ac:dyDescent="0.35">
      <c r="A756" s="21"/>
      <c r="B756" s="19"/>
      <c r="C756" s="20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</row>
    <row r="757" spans="1:17" ht="15.75" customHeight="1" x14ac:dyDescent="0.35">
      <c r="A757" s="22"/>
      <c r="B757" s="19"/>
      <c r="C757" s="20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2"/>
    </row>
    <row r="758" spans="1:17" ht="15.75" customHeight="1" x14ac:dyDescent="0.35">
      <c r="A758" s="22"/>
      <c r="B758" s="19"/>
      <c r="C758" s="20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2"/>
    </row>
    <row r="759" spans="1:17" ht="15.75" customHeight="1" x14ac:dyDescent="0.35">
      <c r="A759" s="22"/>
      <c r="B759" s="19"/>
      <c r="C759" s="20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2"/>
    </row>
    <row r="760" spans="1:17" ht="15.75" customHeight="1" x14ac:dyDescent="0.35">
      <c r="A760" s="22"/>
      <c r="B760" s="19"/>
      <c r="C760" s="20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2"/>
    </row>
    <row r="761" spans="1:17" ht="15.75" customHeight="1" x14ac:dyDescent="0.35">
      <c r="A761" s="22"/>
      <c r="B761" s="19"/>
      <c r="C761" s="20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2"/>
    </row>
    <row r="762" spans="1:17" ht="15.75" customHeight="1" x14ac:dyDescent="0.35">
      <c r="A762" s="22"/>
      <c r="B762" s="19"/>
      <c r="C762" s="20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2"/>
    </row>
    <row r="763" spans="1:17" ht="15.75" customHeight="1" x14ac:dyDescent="0.35">
      <c r="A763" s="22"/>
      <c r="B763" s="19"/>
      <c r="C763" s="20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2"/>
    </row>
    <row r="764" spans="1:17" ht="15.75" customHeight="1" x14ac:dyDescent="0.35">
      <c r="A764" s="22"/>
      <c r="B764" s="19"/>
      <c r="C764" s="20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2"/>
    </row>
    <row r="765" spans="1:17" ht="15.75" customHeight="1" x14ac:dyDescent="0.35">
      <c r="A765" s="22"/>
      <c r="B765" s="19"/>
      <c r="C765" s="20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2"/>
    </row>
    <row r="766" spans="1:17" ht="15.75" customHeight="1" x14ac:dyDescent="0.35">
      <c r="A766" s="22"/>
      <c r="B766" s="19"/>
      <c r="C766" s="20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2"/>
    </row>
    <row r="767" spans="1:17" ht="15.75" customHeight="1" x14ac:dyDescent="0.35">
      <c r="A767" s="22"/>
      <c r="B767" s="19"/>
      <c r="C767" s="20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2"/>
    </row>
    <row r="768" spans="1:17" ht="15.75" customHeight="1" x14ac:dyDescent="0.35">
      <c r="A768" s="22"/>
      <c r="B768" s="19"/>
      <c r="C768" s="20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2"/>
    </row>
    <row r="769" spans="1:17" ht="15.75" customHeight="1" x14ac:dyDescent="0.35">
      <c r="A769" s="22"/>
      <c r="B769" s="19"/>
      <c r="C769" s="20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2"/>
    </row>
    <row r="770" spans="1:17" ht="15.75" customHeight="1" x14ac:dyDescent="0.35">
      <c r="A770" s="22"/>
      <c r="B770" s="19"/>
      <c r="C770" s="20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2"/>
    </row>
    <row r="771" spans="1:17" ht="15.75" customHeight="1" x14ac:dyDescent="0.35">
      <c r="A771" s="22"/>
      <c r="B771" s="19"/>
      <c r="C771" s="20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2"/>
    </row>
    <row r="772" spans="1:17" ht="15.75" customHeight="1" x14ac:dyDescent="0.35">
      <c r="A772" s="22"/>
      <c r="B772" s="19"/>
      <c r="C772" s="20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2"/>
    </row>
    <row r="773" spans="1:17" ht="15.75" customHeight="1" x14ac:dyDescent="0.35">
      <c r="A773" s="22"/>
      <c r="B773" s="19"/>
      <c r="C773" s="20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2"/>
    </row>
    <row r="774" spans="1:17" ht="15.75" customHeight="1" x14ac:dyDescent="0.35">
      <c r="A774" s="22"/>
      <c r="B774" s="19"/>
      <c r="C774" s="20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2"/>
    </row>
    <row r="775" spans="1:17" ht="15.75" customHeight="1" x14ac:dyDescent="0.35">
      <c r="A775" s="22"/>
      <c r="B775" s="19"/>
      <c r="C775" s="20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2"/>
    </row>
    <row r="776" spans="1:17" ht="15.75" customHeight="1" x14ac:dyDescent="0.35">
      <c r="A776" s="22"/>
      <c r="B776" s="19"/>
      <c r="C776" s="20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2"/>
    </row>
    <row r="777" spans="1:17" ht="15.75" customHeight="1" x14ac:dyDescent="0.35">
      <c r="A777" s="22"/>
      <c r="B777" s="19"/>
      <c r="C777" s="20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2"/>
    </row>
    <row r="778" spans="1:17" ht="15.75" customHeight="1" x14ac:dyDescent="0.35">
      <c r="A778" s="22"/>
      <c r="B778" s="19"/>
      <c r="C778" s="20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2"/>
    </row>
    <row r="779" spans="1:17" ht="15.75" customHeight="1" x14ac:dyDescent="0.35">
      <c r="A779" s="22"/>
      <c r="B779" s="19"/>
      <c r="C779" s="20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2"/>
    </row>
    <row r="780" spans="1:17" ht="15.75" customHeight="1" x14ac:dyDescent="0.35">
      <c r="A780" s="22"/>
      <c r="B780" s="19"/>
      <c r="C780" s="20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2"/>
    </row>
    <row r="781" spans="1:17" ht="15.75" customHeight="1" x14ac:dyDescent="0.35">
      <c r="A781" s="22"/>
      <c r="B781" s="19"/>
      <c r="C781" s="20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2"/>
    </row>
    <row r="782" spans="1:17" ht="15.75" customHeight="1" x14ac:dyDescent="0.35">
      <c r="A782" s="22"/>
      <c r="B782" s="19"/>
      <c r="C782" s="20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2"/>
    </row>
    <row r="783" spans="1:17" ht="15.75" customHeight="1" x14ac:dyDescent="0.35">
      <c r="A783" s="22"/>
      <c r="B783" s="19"/>
      <c r="C783" s="20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2"/>
    </row>
    <row r="784" spans="1:17" ht="15.75" customHeight="1" x14ac:dyDescent="0.35">
      <c r="A784" s="22"/>
      <c r="B784" s="19"/>
      <c r="C784" s="20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2"/>
    </row>
    <row r="785" spans="1:17" ht="15.75" customHeight="1" x14ac:dyDescent="0.35">
      <c r="A785" s="22"/>
      <c r="B785" s="19"/>
      <c r="C785" s="20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2"/>
    </row>
    <row r="786" spans="1:17" ht="15.75" customHeight="1" x14ac:dyDescent="0.35">
      <c r="A786" s="22"/>
      <c r="B786" s="19"/>
      <c r="C786" s="20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2"/>
    </row>
    <row r="787" spans="1:17" ht="15.75" customHeight="1" x14ac:dyDescent="0.35">
      <c r="A787" s="22"/>
      <c r="B787" s="19"/>
      <c r="C787" s="20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2"/>
    </row>
    <row r="788" spans="1:17" ht="15.75" customHeight="1" x14ac:dyDescent="0.35">
      <c r="A788" s="22"/>
      <c r="B788" s="19"/>
      <c r="C788" s="20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2"/>
    </row>
    <row r="789" spans="1:17" ht="15.75" customHeight="1" x14ac:dyDescent="0.35">
      <c r="A789" s="22"/>
      <c r="B789" s="19"/>
      <c r="C789" s="20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2"/>
    </row>
    <row r="790" spans="1:17" ht="15.75" customHeight="1" x14ac:dyDescent="0.35">
      <c r="A790" s="22"/>
      <c r="B790" s="19"/>
      <c r="C790" s="20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2"/>
    </row>
    <row r="791" spans="1:17" ht="15.75" customHeight="1" x14ac:dyDescent="0.35">
      <c r="A791" s="22"/>
      <c r="B791" s="19"/>
      <c r="C791" s="20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2"/>
    </row>
    <row r="792" spans="1:17" ht="15.75" customHeight="1" x14ac:dyDescent="0.35">
      <c r="A792" s="22"/>
      <c r="B792" s="19"/>
      <c r="C792" s="20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2"/>
    </row>
    <row r="793" spans="1:17" ht="15.75" customHeight="1" x14ac:dyDescent="0.35">
      <c r="A793" s="22"/>
      <c r="B793" s="19"/>
      <c r="C793" s="20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2"/>
    </row>
    <row r="794" spans="1:17" ht="15.75" customHeight="1" x14ac:dyDescent="0.35">
      <c r="A794" s="22"/>
      <c r="B794" s="19"/>
      <c r="C794" s="20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2"/>
    </row>
    <row r="795" spans="1:17" ht="15.75" customHeight="1" x14ac:dyDescent="0.35">
      <c r="A795" s="22"/>
      <c r="B795" s="19"/>
      <c r="C795" s="20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2"/>
    </row>
    <row r="796" spans="1:17" ht="15.75" customHeight="1" x14ac:dyDescent="0.35">
      <c r="A796" s="22"/>
      <c r="B796" s="19"/>
      <c r="C796" s="20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2"/>
    </row>
    <row r="797" spans="1:17" ht="15.75" customHeight="1" x14ac:dyDescent="0.35">
      <c r="A797" s="22"/>
      <c r="B797" s="19"/>
      <c r="C797" s="20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2"/>
    </row>
    <row r="798" spans="1:17" ht="15.75" customHeight="1" x14ac:dyDescent="0.35">
      <c r="A798" s="22"/>
      <c r="B798" s="19"/>
      <c r="C798" s="20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2"/>
    </row>
    <row r="799" spans="1:17" ht="15.75" customHeight="1" x14ac:dyDescent="0.35">
      <c r="A799" s="22"/>
      <c r="B799" s="19"/>
      <c r="C799" s="20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2"/>
    </row>
    <row r="800" spans="1:17" ht="15.75" customHeight="1" x14ac:dyDescent="0.35">
      <c r="A800" s="22"/>
      <c r="B800" s="19"/>
      <c r="C800" s="20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2"/>
    </row>
    <row r="801" spans="1:17" ht="15.75" customHeight="1" x14ac:dyDescent="0.35">
      <c r="A801" s="22"/>
      <c r="B801" s="19"/>
      <c r="C801" s="20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2"/>
    </row>
    <row r="802" spans="1:17" ht="15.75" customHeight="1" x14ac:dyDescent="0.35">
      <c r="A802" s="22"/>
      <c r="B802" s="19"/>
      <c r="C802" s="20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2"/>
    </row>
    <row r="803" spans="1:17" ht="15.75" customHeight="1" x14ac:dyDescent="0.35">
      <c r="A803" s="22"/>
      <c r="B803" s="19"/>
      <c r="C803" s="20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2"/>
    </row>
    <row r="804" spans="1:17" ht="15.75" customHeight="1" x14ac:dyDescent="0.35">
      <c r="A804" s="22"/>
      <c r="B804" s="19"/>
      <c r="C804" s="20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2"/>
    </row>
    <row r="805" spans="1:17" ht="15.75" customHeight="1" x14ac:dyDescent="0.35">
      <c r="A805" s="22"/>
      <c r="B805" s="19"/>
      <c r="C805" s="20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2"/>
    </row>
    <row r="806" spans="1:17" ht="15.75" customHeight="1" x14ac:dyDescent="0.35">
      <c r="A806" s="22"/>
      <c r="B806" s="19"/>
      <c r="C806" s="20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2"/>
    </row>
    <row r="807" spans="1:17" ht="15.75" customHeight="1" x14ac:dyDescent="0.35">
      <c r="A807" s="22"/>
      <c r="B807" s="19"/>
      <c r="C807" s="20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2"/>
    </row>
    <row r="808" spans="1:17" ht="15.75" customHeight="1" x14ac:dyDescent="0.35">
      <c r="A808" s="22"/>
      <c r="B808" s="19"/>
      <c r="C808" s="20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2"/>
    </row>
    <row r="809" spans="1:17" ht="15.75" customHeight="1" x14ac:dyDescent="0.35">
      <c r="A809" s="22"/>
      <c r="B809" s="19"/>
      <c r="C809" s="20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2"/>
    </row>
    <row r="810" spans="1:17" ht="15.75" customHeight="1" x14ac:dyDescent="0.35">
      <c r="A810" s="22"/>
      <c r="B810" s="19"/>
      <c r="C810" s="20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2"/>
    </row>
    <row r="811" spans="1:17" ht="15.75" customHeight="1" x14ac:dyDescent="0.35">
      <c r="A811" s="22"/>
      <c r="B811" s="19"/>
      <c r="C811" s="20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2"/>
    </row>
    <row r="812" spans="1:17" ht="15.75" customHeight="1" x14ac:dyDescent="0.35">
      <c r="A812" s="22"/>
      <c r="B812" s="19"/>
      <c r="C812" s="20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2"/>
    </row>
    <row r="813" spans="1:17" ht="15.75" customHeight="1" x14ac:dyDescent="0.35">
      <c r="A813" s="22"/>
      <c r="B813" s="19"/>
      <c r="C813" s="20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2"/>
    </row>
    <row r="814" spans="1:17" ht="15.75" customHeight="1" x14ac:dyDescent="0.35">
      <c r="A814" s="22"/>
      <c r="B814" s="19"/>
      <c r="C814" s="20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2"/>
    </row>
    <row r="815" spans="1:17" ht="15.75" customHeight="1" x14ac:dyDescent="0.35">
      <c r="A815" s="22"/>
      <c r="B815" s="19"/>
      <c r="C815" s="20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2"/>
    </row>
    <row r="816" spans="1:17" ht="15.75" customHeight="1" x14ac:dyDescent="0.35">
      <c r="A816" s="22"/>
      <c r="B816" s="19"/>
      <c r="C816" s="20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2"/>
    </row>
    <row r="817" spans="1:17" ht="15.75" customHeight="1" x14ac:dyDescent="0.35">
      <c r="A817" s="22"/>
      <c r="B817" s="19"/>
      <c r="C817" s="20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2"/>
    </row>
    <row r="818" spans="1:17" ht="15.75" customHeight="1" x14ac:dyDescent="0.35">
      <c r="A818" s="22"/>
      <c r="B818" s="19"/>
      <c r="C818" s="20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2"/>
    </row>
    <row r="819" spans="1:17" ht="15.75" customHeight="1" x14ac:dyDescent="0.35">
      <c r="A819" s="22"/>
      <c r="B819" s="19"/>
      <c r="C819" s="20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2"/>
    </row>
    <row r="820" spans="1:17" ht="15.75" customHeight="1" x14ac:dyDescent="0.35">
      <c r="A820" s="22"/>
      <c r="B820" s="19"/>
      <c r="C820" s="20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2"/>
    </row>
    <row r="821" spans="1:17" ht="15.75" customHeight="1" x14ac:dyDescent="0.35">
      <c r="A821" s="22"/>
      <c r="B821" s="19"/>
      <c r="C821" s="20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2"/>
    </row>
    <row r="822" spans="1:17" ht="15.75" customHeight="1" x14ac:dyDescent="0.35">
      <c r="A822" s="22"/>
      <c r="B822" s="19"/>
      <c r="C822" s="20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2"/>
    </row>
    <row r="823" spans="1:17" ht="15.75" customHeight="1" x14ac:dyDescent="0.35">
      <c r="A823" s="22"/>
      <c r="B823" s="19"/>
      <c r="C823" s="20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2"/>
    </row>
    <row r="824" spans="1:17" ht="15.75" customHeight="1" x14ac:dyDescent="0.35">
      <c r="A824" s="22"/>
      <c r="B824" s="19"/>
      <c r="C824" s="20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2"/>
    </row>
    <row r="825" spans="1:17" ht="15.75" customHeight="1" x14ac:dyDescent="0.35">
      <c r="A825" s="22"/>
      <c r="B825" s="19"/>
      <c r="C825" s="20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2"/>
    </row>
    <row r="826" spans="1:17" ht="15.75" customHeight="1" x14ac:dyDescent="0.35">
      <c r="A826" s="22"/>
      <c r="B826" s="19"/>
      <c r="C826" s="20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2"/>
    </row>
    <row r="827" spans="1:17" ht="15.75" customHeight="1" x14ac:dyDescent="0.35">
      <c r="A827" s="22"/>
      <c r="B827" s="19"/>
      <c r="C827" s="20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2"/>
    </row>
    <row r="828" spans="1:17" ht="15.75" customHeight="1" x14ac:dyDescent="0.35">
      <c r="A828" s="22"/>
      <c r="B828" s="19"/>
      <c r="C828" s="20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2"/>
    </row>
    <row r="829" spans="1:17" ht="15.75" customHeight="1" x14ac:dyDescent="0.35">
      <c r="A829" s="22"/>
      <c r="B829" s="19"/>
      <c r="C829" s="20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2"/>
    </row>
    <row r="830" spans="1:17" ht="15.75" customHeight="1" x14ac:dyDescent="0.35">
      <c r="A830" s="22"/>
      <c r="B830" s="19"/>
      <c r="C830" s="20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2"/>
    </row>
    <row r="831" spans="1:17" ht="15.75" customHeight="1" x14ac:dyDescent="0.35">
      <c r="A831" s="22"/>
      <c r="B831" s="19"/>
      <c r="C831" s="20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2"/>
    </row>
    <row r="832" spans="1:17" ht="15.75" customHeight="1" x14ac:dyDescent="0.35">
      <c r="A832" s="22"/>
      <c r="B832" s="19"/>
      <c r="C832" s="20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2"/>
    </row>
    <row r="833" spans="1:17" ht="15.75" customHeight="1" x14ac:dyDescent="0.35">
      <c r="A833" s="22"/>
      <c r="B833" s="19"/>
      <c r="C833" s="20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2"/>
    </row>
    <row r="834" spans="1:17" ht="15.75" customHeight="1" x14ac:dyDescent="0.35">
      <c r="A834" s="22"/>
      <c r="B834" s="19"/>
      <c r="C834" s="20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2"/>
    </row>
    <row r="835" spans="1:17" ht="15.75" customHeight="1" x14ac:dyDescent="0.35">
      <c r="A835" s="22"/>
      <c r="B835" s="19"/>
      <c r="C835" s="20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2"/>
    </row>
    <row r="836" spans="1:17" ht="15.75" customHeight="1" x14ac:dyDescent="0.35">
      <c r="A836" s="22"/>
      <c r="B836" s="19"/>
      <c r="C836" s="20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2"/>
    </row>
    <row r="837" spans="1:17" ht="15.75" customHeight="1" x14ac:dyDescent="0.35">
      <c r="A837" s="22"/>
      <c r="B837" s="19"/>
      <c r="C837" s="20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2"/>
    </row>
    <row r="838" spans="1:17" ht="15.75" customHeight="1" x14ac:dyDescent="0.35">
      <c r="A838" s="22"/>
      <c r="B838" s="19"/>
      <c r="C838" s="20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2"/>
    </row>
    <row r="839" spans="1:17" ht="15.75" customHeight="1" x14ac:dyDescent="0.35">
      <c r="A839" s="22"/>
      <c r="B839" s="19"/>
      <c r="C839" s="20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2"/>
    </row>
    <row r="840" spans="1:17" ht="15.75" customHeight="1" x14ac:dyDescent="0.35">
      <c r="A840" s="22"/>
      <c r="B840" s="19"/>
      <c r="C840" s="20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2"/>
    </row>
    <row r="841" spans="1:17" ht="15.75" customHeight="1" x14ac:dyDescent="0.35">
      <c r="A841" s="22"/>
      <c r="B841" s="19"/>
      <c r="C841" s="20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2"/>
    </row>
    <row r="842" spans="1:17" ht="15.75" customHeight="1" x14ac:dyDescent="0.35">
      <c r="A842" s="22"/>
      <c r="B842" s="19"/>
      <c r="C842" s="20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2"/>
    </row>
    <row r="843" spans="1:17" ht="15.75" customHeight="1" x14ac:dyDescent="0.35">
      <c r="A843" s="22"/>
      <c r="B843" s="19"/>
      <c r="C843" s="20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2"/>
    </row>
    <row r="844" spans="1:17" ht="15.75" customHeight="1" x14ac:dyDescent="0.35">
      <c r="A844" s="22"/>
      <c r="B844" s="19"/>
      <c r="C844" s="20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2"/>
    </row>
    <row r="845" spans="1:17" ht="15.75" customHeight="1" x14ac:dyDescent="0.35">
      <c r="A845" s="22"/>
      <c r="B845" s="19"/>
      <c r="C845" s="20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2"/>
    </row>
    <row r="846" spans="1:17" ht="15.75" customHeight="1" x14ac:dyDescent="0.35">
      <c r="A846" s="22"/>
      <c r="B846" s="19"/>
      <c r="C846" s="20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2"/>
    </row>
    <row r="847" spans="1:17" ht="15.75" customHeight="1" x14ac:dyDescent="0.35">
      <c r="A847" s="22"/>
      <c r="B847" s="19"/>
      <c r="C847" s="20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2"/>
    </row>
    <row r="848" spans="1:17" ht="15.75" customHeight="1" x14ac:dyDescent="0.35">
      <c r="A848" s="22"/>
      <c r="B848" s="19"/>
      <c r="C848" s="20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2"/>
    </row>
    <row r="849" spans="1:17" ht="15.75" customHeight="1" x14ac:dyDescent="0.35">
      <c r="A849" s="22"/>
      <c r="B849" s="19"/>
      <c r="C849" s="20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2"/>
    </row>
    <row r="850" spans="1:17" ht="15.75" customHeight="1" x14ac:dyDescent="0.35">
      <c r="A850" s="22"/>
      <c r="B850" s="19"/>
      <c r="C850" s="20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2"/>
    </row>
    <row r="851" spans="1:17" ht="15.75" customHeight="1" x14ac:dyDescent="0.35">
      <c r="A851" s="22"/>
      <c r="B851" s="19"/>
      <c r="C851" s="20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2"/>
    </row>
    <row r="852" spans="1:17" ht="15.75" customHeight="1" x14ac:dyDescent="0.35">
      <c r="A852" s="22"/>
      <c r="B852" s="19"/>
      <c r="C852" s="20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2"/>
    </row>
    <row r="853" spans="1:17" ht="15.75" customHeight="1" x14ac:dyDescent="0.35">
      <c r="A853" s="22"/>
      <c r="B853" s="19"/>
      <c r="C853" s="20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2"/>
    </row>
    <row r="854" spans="1:17" ht="15.75" customHeight="1" x14ac:dyDescent="0.35">
      <c r="A854" s="22"/>
      <c r="B854" s="19"/>
      <c r="C854" s="20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2"/>
    </row>
    <row r="855" spans="1:17" ht="15.75" customHeight="1" x14ac:dyDescent="0.35">
      <c r="A855" s="22"/>
      <c r="B855" s="19"/>
      <c r="C855" s="20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2"/>
    </row>
    <row r="856" spans="1:17" ht="15.75" customHeight="1" x14ac:dyDescent="0.35">
      <c r="A856" s="22"/>
      <c r="B856" s="19"/>
      <c r="C856" s="20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2"/>
    </row>
    <row r="857" spans="1:17" ht="15.75" customHeight="1" x14ac:dyDescent="0.35">
      <c r="A857" s="22"/>
      <c r="B857" s="19"/>
      <c r="C857" s="20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2"/>
    </row>
    <row r="858" spans="1:17" ht="15.75" customHeight="1" x14ac:dyDescent="0.35">
      <c r="A858" s="22"/>
      <c r="B858" s="19"/>
      <c r="C858" s="20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2"/>
    </row>
    <row r="859" spans="1:17" ht="15.75" customHeight="1" x14ac:dyDescent="0.35">
      <c r="A859" s="22"/>
      <c r="B859" s="19"/>
      <c r="C859" s="20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2"/>
    </row>
    <row r="860" spans="1:17" ht="15.75" customHeight="1" x14ac:dyDescent="0.35">
      <c r="A860" s="22"/>
      <c r="B860" s="19"/>
      <c r="C860" s="20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2"/>
    </row>
    <row r="861" spans="1:17" ht="15.75" customHeight="1" x14ac:dyDescent="0.35">
      <c r="A861" s="22"/>
      <c r="B861" s="19"/>
      <c r="C861" s="20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2"/>
    </row>
    <row r="862" spans="1:17" ht="15.75" customHeight="1" x14ac:dyDescent="0.35">
      <c r="A862" s="22"/>
      <c r="B862" s="19"/>
      <c r="C862" s="20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2"/>
    </row>
    <row r="863" spans="1:17" ht="15.75" customHeight="1" x14ac:dyDescent="0.35">
      <c r="A863" s="22"/>
      <c r="B863" s="19"/>
      <c r="C863" s="20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2"/>
    </row>
    <row r="864" spans="1:17" ht="15.75" customHeight="1" x14ac:dyDescent="0.35">
      <c r="A864" s="22"/>
      <c r="B864" s="19"/>
      <c r="C864" s="20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2"/>
    </row>
    <row r="865" spans="1:17" ht="15.75" customHeight="1" x14ac:dyDescent="0.35">
      <c r="A865" s="22"/>
      <c r="B865" s="19"/>
      <c r="C865" s="20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2"/>
    </row>
    <row r="866" spans="1:17" ht="15.75" customHeight="1" x14ac:dyDescent="0.35">
      <c r="A866" s="22"/>
      <c r="B866" s="19"/>
      <c r="C866" s="20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2"/>
    </row>
    <row r="867" spans="1:17" ht="15.75" customHeight="1" x14ac:dyDescent="0.35">
      <c r="A867" s="22"/>
      <c r="B867" s="19"/>
      <c r="C867" s="20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2"/>
    </row>
    <row r="868" spans="1:17" ht="15.75" customHeight="1" x14ac:dyDescent="0.35">
      <c r="A868" s="22"/>
      <c r="B868" s="19"/>
      <c r="C868" s="20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2"/>
    </row>
    <row r="869" spans="1:17" ht="15.75" customHeight="1" x14ac:dyDescent="0.35">
      <c r="A869" s="22"/>
      <c r="B869" s="19"/>
      <c r="C869" s="20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2"/>
    </row>
    <row r="870" spans="1:17" ht="15.75" customHeight="1" x14ac:dyDescent="0.35">
      <c r="A870" s="22"/>
      <c r="B870" s="19"/>
      <c r="C870" s="20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2"/>
    </row>
    <row r="871" spans="1:17" ht="15.75" customHeight="1" x14ac:dyDescent="0.35">
      <c r="A871" s="22"/>
      <c r="B871" s="19"/>
      <c r="C871" s="20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2"/>
    </row>
    <row r="872" spans="1:17" ht="15.75" customHeight="1" x14ac:dyDescent="0.35">
      <c r="A872" s="22"/>
      <c r="B872" s="19"/>
      <c r="C872" s="20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2"/>
    </row>
    <row r="873" spans="1:17" ht="15.75" customHeight="1" x14ac:dyDescent="0.35">
      <c r="A873" s="22"/>
      <c r="B873" s="19"/>
      <c r="C873" s="20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2"/>
    </row>
    <row r="874" spans="1:17" ht="15.75" customHeight="1" x14ac:dyDescent="0.35">
      <c r="A874" s="22"/>
      <c r="B874" s="19"/>
      <c r="C874" s="20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2"/>
    </row>
    <row r="875" spans="1:17" ht="15.75" customHeight="1" x14ac:dyDescent="0.35">
      <c r="A875" s="22"/>
      <c r="B875" s="19"/>
      <c r="C875" s="20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2"/>
    </row>
    <row r="876" spans="1:17" ht="15.75" customHeight="1" x14ac:dyDescent="0.35">
      <c r="A876" s="22"/>
      <c r="B876" s="19"/>
      <c r="C876" s="20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2"/>
    </row>
    <row r="877" spans="1:17" ht="15.75" customHeight="1" x14ac:dyDescent="0.35">
      <c r="A877" s="22"/>
      <c r="B877" s="19"/>
      <c r="C877" s="20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2"/>
    </row>
    <row r="878" spans="1:17" ht="15.75" customHeight="1" x14ac:dyDescent="0.35">
      <c r="A878" s="22"/>
      <c r="B878" s="19"/>
      <c r="C878" s="20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2"/>
    </row>
    <row r="879" spans="1:17" ht="15.75" customHeight="1" x14ac:dyDescent="0.35">
      <c r="A879" s="22"/>
      <c r="B879" s="19"/>
      <c r="C879" s="20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2"/>
    </row>
    <row r="880" spans="1:17" ht="15.75" customHeight="1" x14ac:dyDescent="0.35">
      <c r="A880" s="22"/>
      <c r="B880" s="19"/>
      <c r="C880" s="20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2"/>
    </row>
    <row r="881" spans="1:17" ht="15.75" customHeight="1" x14ac:dyDescent="0.35">
      <c r="A881" s="22"/>
      <c r="B881" s="19"/>
      <c r="C881" s="20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2"/>
    </row>
    <row r="882" spans="1:17" ht="15.75" customHeight="1" x14ac:dyDescent="0.35">
      <c r="A882" s="22"/>
      <c r="B882" s="19"/>
      <c r="C882" s="20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2"/>
    </row>
    <row r="883" spans="1:17" ht="15.75" customHeight="1" x14ac:dyDescent="0.35">
      <c r="A883" s="22"/>
      <c r="B883" s="19"/>
      <c r="C883" s="20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2"/>
    </row>
    <row r="884" spans="1:17" ht="15.75" customHeight="1" x14ac:dyDescent="0.35">
      <c r="A884" s="22"/>
      <c r="B884" s="19"/>
      <c r="C884" s="20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2"/>
    </row>
    <row r="885" spans="1:17" ht="15.75" customHeight="1" x14ac:dyDescent="0.35">
      <c r="A885" s="22"/>
      <c r="B885" s="19"/>
      <c r="C885" s="20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2"/>
    </row>
    <row r="886" spans="1:17" ht="15.75" customHeight="1" x14ac:dyDescent="0.35">
      <c r="A886" s="22"/>
      <c r="B886" s="19"/>
      <c r="C886" s="20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2"/>
    </row>
    <row r="887" spans="1:17" ht="15.75" customHeight="1" x14ac:dyDescent="0.35">
      <c r="A887" s="22"/>
      <c r="B887" s="19"/>
      <c r="C887" s="20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2"/>
    </row>
    <row r="888" spans="1:17" ht="15.75" customHeight="1" x14ac:dyDescent="0.35">
      <c r="A888" s="22"/>
      <c r="B888" s="19"/>
      <c r="C888" s="20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2"/>
    </row>
    <row r="889" spans="1:17" ht="15.75" customHeight="1" x14ac:dyDescent="0.35">
      <c r="A889" s="22"/>
      <c r="B889" s="19"/>
      <c r="C889" s="20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2"/>
    </row>
    <row r="890" spans="1:17" ht="15.75" customHeight="1" x14ac:dyDescent="0.35">
      <c r="A890" s="22"/>
      <c r="B890" s="19"/>
      <c r="C890" s="20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2"/>
    </row>
    <row r="891" spans="1:17" ht="15.75" customHeight="1" x14ac:dyDescent="0.35">
      <c r="A891" s="22"/>
      <c r="B891" s="19"/>
      <c r="C891" s="20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2"/>
    </row>
  </sheetData>
  <autoFilter ref="B4:Q14" xr:uid="{00000000-0009-0000-0000-00000B000000}">
    <sortState xmlns:xlrd2="http://schemas.microsoft.com/office/spreadsheetml/2017/richdata2" ref="B5:Q14">
      <sortCondition ref="B4:B14"/>
      <sortCondition ref="C4:C14"/>
      <sortCondition descending="1" ref="E4:E14"/>
    </sortState>
  </autoFilter>
  <mergeCells count="14">
    <mergeCell ref="N2:P2"/>
    <mergeCell ref="A1:B1"/>
    <mergeCell ref="C1:Q1"/>
    <mergeCell ref="A2:A3"/>
    <mergeCell ref="B2:B3"/>
    <mergeCell ref="C2:C3"/>
    <mergeCell ref="D2:D3"/>
    <mergeCell ref="E2:E3"/>
    <mergeCell ref="Q2:Q3"/>
    <mergeCell ref="F2:F3"/>
    <mergeCell ref="G2:I2"/>
    <mergeCell ref="J2:K2"/>
    <mergeCell ref="L2:L3"/>
    <mergeCell ref="M2:M3"/>
  </mergeCells>
  <dataValidations count="4">
    <dataValidation type="list" allowBlank="1" showErrorMessage="1" sqref="M5:M14" xr:uid="{00000000-0002-0000-0B00-000000000000}">
      <formula1>"A,B"</formula1>
    </dataValidation>
    <dataValidation type="list" allowBlank="1" showErrorMessage="1" sqref="F5:F14" xr:uid="{00000000-0002-0000-0B00-000001000000}">
      <formula1>"Central,Linda Vista,Norte,Sur,Carazo,Masatepe,Granada,Estelí,Juigalpa,Otra"</formula1>
    </dataValidation>
    <dataValidation type="list" allowBlank="1" showErrorMessage="1" sqref="C5:C14" xr:uid="{00000000-0002-0000-0B00-000002000000}">
      <formula1>"Nivel 1,2"</formula1>
    </dataValidation>
    <dataValidation type="list" allowBlank="1" showErrorMessage="1" sqref="G5:K14" xr:uid="{00000000-0002-0000-0B00-000003000000}">
      <formula1>"X,A,T,J"</formula1>
    </dataValidation>
  </dataValidations>
  <pageMargins left="0.7" right="0.7" top="0.75" bottom="0.75" header="0" footer="0"/>
  <pageSetup paperSize="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C1"/>
  <sheetViews>
    <sheetView workbookViewId="0"/>
  </sheetViews>
  <sheetFormatPr defaultColWidth="10.07421875" defaultRowHeight="15" customHeight="1" x14ac:dyDescent="0.35"/>
  <sheetData>
    <row r="1" spans="1:3" ht="15" customHeight="1" x14ac:dyDescent="0.35">
      <c r="A1" s="40" t="str">
        <f ca="1">IFERROR(__xludf.DUMMYFUNCTION("ARRAYFORMULA(QUERY({
  IF(LEN(CAN!B4:B195), ""CANTO"", ), CAN!B4:B195, CAN!C4:C195;
  IF(LEN(EE!B4:B201), ""EMOCIONES"", ), EE!B4:B201, #REF!;
  IF(LEN(PIA!B4:B186), ""PIANO"", ), PIA!B4:B186, PIA!C4:C186;
  IF(LEN(BAT!B4:B188), ""BATERÍA"", ), BAT!B4:B18"&amp;"8, BAT!C4:C188;
  IF(LEN(GUI!B4:B189), ""GUITARRA"", ), GUI!B4:B189, GUI!C4:C189;
  IF(LEN(AP!B4:B195), ""ARTES PLÁSTICAS"", ), AP!B4:B195, AP!C4:C195;
  IF(LEN(DAN!B4:B190), ""DANZA"", ), DAN!B4:B190, DAN!C4:C190;
  IF(LEN(SON!B4:B190), ""SONIDO"", ), SO"&amp;"N!B4:B190, SON!C4:C190;
  IF(LEN(BAJ!B4:B188), ""BAJO"", ), BAJ!B4:B188, BAJ!C4:C188;
  IF(LEN(VIO!B4:B200), ""VIOLÍN"", ), VIO!B4:B200, VIO!C4:C200;
  IF(LEN(VM!B4:B200), ""VIENTO METAL"", ), VM!B4:B200, VM!C4:C200;
  IF(LEN(EYL!B4:B200), ""EMP. Y LID."""&amp;", ), EYL!B4:B200, EYL!E4:E200;
  IF(LEN(DEP!B4:B195), ""DEPORTES"", ), DEP!B4:B195, DEP!E4:E195;
  IF(LEN(IDI!B4:B192), ""IDIOMAS"", ), IDI!B4:B192, IDI!E4:E192
}, ""select * where Col2 &lt;&gt; '' label Col1 'Curso', Col2 'Estudiante', Col3 'Categoría'"", 0))"),"#VALUE!")</f>
        <v>#VALUE!</v>
      </c>
      <c r="B1" s="40" t="s">
        <v>187</v>
      </c>
      <c r="C1" s="40" t="s">
        <v>187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C4"/>
  <sheetViews>
    <sheetView workbookViewId="0"/>
  </sheetViews>
  <sheetFormatPr defaultColWidth="10.07421875" defaultRowHeight="15" customHeight="1" x14ac:dyDescent="0.35"/>
  <sheetData>
    <row r="1" spans="1:3" ht="15" customHeight="1" x14ac:dyDescent="0.35">
      <c r="A1" s="66" t="s">
        <v>284</v>
      </c>
      <c r="B1" s="66" t="s">
        <v>296</v>
      </c>
      <c r="C1" s="67"/>
    </row>
    <row r="2" spans="1:3" ht="15" customHeight="1" x14ac:dyDescent="0.35">
      <c r="A2" s="66" t="s">
        <v>297</v>
      </c>
      <c r="B2" s="68" t="s">
        <v>298</v>
      </c>
      <c r="C2" s="69" t="s">
        <v>299</v>
      </c>
    </row>
    <row r="3" spans="1:3" ht="15" customHeight="1" x14ac:dyDescent="0.35">
      <c r="A3" s="68" t="s">
        <v>298</v>
      </c>
      <c r="B3" s="70"/>
      <c r="C3" s="71"/>
    </row>
    <row r="4" spans="1:3" ht="15" customHeight="1" x14ac:dyDescent="0.35">
      <c r="A4" s="72" t="s">
        <v>299</v>
      </c>
      <c r="B4" s="73"/>
      <c r="C4" s="7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L51"/>
  <sheetViews>
    <sheetView workbookViewId="0"/>
  </sheetViews>
  <sheetFormatPr defaultColWidth="10.07421875" defaultRowHeight="15" customHeight="1" x14ac:dyDescent="0.35"/>
  <cols>
    <col min="1" max="1" width="16.3828125" customWidth="1"/>
    <col min="8" max="8" width="13.23046875" customWidth="1"/>
  </cols>
  <sheetData>
    <row r="1" spans="1:12" ht="15" customHeight="1" x14ac:dyDescent="0.35">
      <c r="A1" s="65" t="s">
        <v>285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</row>
    <row r="2" spans="1:12" ht="15" customHeight="1" x14ac:dyDescent="0.35">
      <c r="A2" s="57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</row>
    <row r="4" spans="1:12" ht="15" customHeight="1" x14ac:dyDescent="0.35">
      <c r="A4" s="64" t="s">
        <v>286</v>
      </c>
      <c r="B4" s="59"/>
      <c r="C4" s="59"/>
      <c r="D4" s="59"/>
      <c r="E4" s="60"/>
      <c r="G4" s="64" t="s">
        <v>183</v>
      </c>
      <c r="H4" s="59"/>
      <c r="I4" s="60"/>
    </row>
    <row r="5" spans="1:12" ht="15" customHeight="1" x14ac:dyDescent="0.35">
      <c r="A5" s="66" t="s">
        <v>187</v>
      </c>
      <c r="B5" s="66" t="s">
        <v>296</v>
      </c>
      <c r="C5" s="67"/>
      <c r="D5" s="42"/>
      <c r="E5" s="43"/>
      <c r="G5" s="66" t="s">
        <v>187</v>
      </c>
      <c r="H5" s="66" t="s">
        <v>296</v>
      </c>
      <c r="I5" s="67"/>
    </row>
    <row r="6" spans="1:12" ht="15" customHeight="1" x14ac:dyDescent="0.35">
      <c r="A6" s="66" t="s">
        <v>297</v>
      </c>
      <c r="B6" s="68" t="s">
        <v>298</v>
      </c>
      <c r="C6" s="69" t="s">
        <v>299</v>
      </c>
      <c r="D6" s="44"/>
      <c r="E6" s="44"/>
      <c r="G6" s="66" t="s">
        <v>297</v>
      </c>
      <c r="H6" s="68" t="s">
        <v>298</v>
      </c>
      <c r="I6" s="69" t="s">
        <v>299</v>
      </c>
    </row>
    <row r="7" spans="1:12" ht="15" customHeight="1" x14ac:dyDescent="0.35">
      <c r="A7" s="68" t="s">
        <v>298</v>
      </c>
      <c r="B7" s="70"/>
      <c r="C7" s="71"/>
      <c r="D7" s="44"/>
      <c r="E7" s="44"/>
      <c r="G7" s="68" t="s">
        <v>298</v>
      </c>
      <c r="H7" s="70"/>
      <c r="I7" s="71"/>
    </row>
    <row r="8" spans="1:12" ht="15" customHeight="1" x14ac:dyDescent="0.35">
      <c r="A8" s="72" t="s">
        <v>299</v>
      </c>
      <c r="B8" s="73"/>
      <c r="C8" s="74"/>
      <c r="D8" s="44"/>
      <c r="E8" s="44"/>
      <c r="G8" s="72" t="s">
        <v>299</v>
      </c>
      <c r="H8" s="73"/>
      <c r="I8" s="74"/>
    </row>
    <row r="11" spans="1:12" ht="15" customHeight="1" x14ac:dyDescent="0.35">
      <c r="F11" s="45"/>
    </row>
    <row r="12" spans="1:12" ht="15" customHeight="1" x14ac:dyDescent="0.35">
      <c r="A12" s="64" t="s">
        <v>154</v>
      </c>
      <c r="B12" s="59"/>
      <c r="C12" s="59"/>
      <c r="D12" s="59"/>
      <c r="E12" s="60"/>
      <c r="G12" s="64" t="s">
        <v>1</v>
      </c>
      <c r="H12" s="59"/>
      <c r="I12" s="59"/>
      <c r="J12" s="59"/>
      <c r="K12" s="60"/>
    </row>
    <row r="13" spans="1:12" ht="15" customHeight="1" x14ac:dyDescent="0.35">
      <c r="A13" s="66" t="s">
        <v>187</v>
      </c>
      <c r="B13" s="66" t="s">
        <v>296</v>
      </c>
      <c r="C13" s="67"/>
      <c r="D13" s="42"/>
      <c r="E13" s="43"/>
      <c r="G13" s="66" t="s">
        <v>187</v>
      </c>
      <c r="H13" s="66" t="s">
        <v>296</v>
      </c>
      <c r="I13" s="67"/>
      <c r="J13" s="42"/>
      <c r="K13" s="43"/>
    </row>
    <row r="14" spans="1:12" ht="15" customHeight="1" x14ac:dyDescent="0.35">
      <c r="A14" s="66" t="s">
        <v>297</v>
      </c>
      <c r="B14" s="68" t="s">
        <v>298</v>
      </c>
      <c r="C14" s="69" t="s">
        <v>299</v>
      </c>
      <c r="D14" s="44"/>
      <c r="E14" s="44"/>
      <c r="G14" s="66" t="s">
        <v>297</v>
      </c>
      <c r="H14" s="68" t="s">
        <v>298</v>
      </c>
      <c r="I14" s="69" t="s">
        <v>299</v>
      </c>
      <c r="J14" s="44"/>
      <c r="K14" s="44"/>
    </row>
    <row r="15" spans="1:12" ht="15" customHeight="1" x14ac:dyDescent="0.35">
      <c r="A15" s="68" t="s">
        <v>298</v>
      </c>
      <c r="B15" s="70"/>
      <c r="C15" s="71"/>
      <c r="D15" s="44"/>
      <c r="E15" s="44"/>
      <c r="G15" s="68" t="s">
        <v>298</v>
      </c>
      <c r="H15" s="70"/>
      <c r="I15" s="71"/>
      <c r="J15" s="44"/>
      <c r="K15" s="44"/>
    </row>
    <row r="16" spans="1:12" ht="15" customHeight="1" x14ac:dyDescent="0.35">
      <c r="A16" s="72" t="s">
        <v>299</v>
      </c>
      <c r="B16" s="73"/>
      <c r="C16" s="74"/>
      <c r="D16" s="44"/>
      <c r="E16" s="44"/>
      <c r="G16" s="72" t="s">
        <v>299</v>
      </c>
      <c r="H16" s="73"/>
      <c r="I16" s="74"/>
      <c r="J16" s="44"/>
      <c r="K16" s="44"/>
    </row>
    <row r="19" spans="1:11" ht="15.5" x14ac:dyDescent="0.35">
      <c r="A19" s="64" t="s">
        <v>195</v>
      </c>
      <c r="B19" s="59"/>
      <c r="C19" s="59"/>
      <c r="D19" s="59"/>
      <c r="E19" s="60"/>
      <c r="G19" s="64" t="s">
        <v>254</v>
      </c>
      <c r="H19" s="59"/>
      <c r="I19" s="59"/>
      <c r="J19" s="60"/>
      <c r="K19" s="45"/>
    </row>
    <row r="20" spans="1:11" ht="15.5" x14ac:dyDescent="0.35">
      <c r="A20" s="66" t="s">
        <v>187</v>
      </c>
      <c r="B20" s="66" t="s">
        <v>296</v>
      </c>
      <c r="C20" s="67"/>
      <c r="D20" s="42"/>
      <c r="E20" s="43"/>
      <c r="G20" s="66" t="s">
        <v>187</v>
      </c>
      <c r="H20" s="66" t="s">
        <v>296</v>
      </c>
      <c r="I20" s="67"/>
      <c r="J20" s="43"/>
    </row>
    <row r="21" spans="1:11" ht="15.5" x14ac:dyDescent="0.35">
      <c r="A21" s="66" t="s">
        <v>297</v>
      </c>
      <c r="B21" s="68" t="s">
        <v>298</v>
      </c>
      <c r="C21" s="69" t="s">
        <v>299</v>
      </c>
      <c r="D21" s="44"/>
      <c r="E21" s="44"/>
      <c r="G21" s="66" t="s">
        <v>297</v>
      </c>
      <c r="H21" s="68" t="s">
        <v>298</v>
      </c>
      <c r="I21" s="69" t="s">
        <v>299</v>
      </c>
      <c r="J21" s="44"/>
    </row>
    <row r="22" spans="1:11" ht="15.5" x14ac:dyDescent="0.35">
      <c r="A22" s="68" t="s">
        <v>298</v>
      </c>
      <c r="B22" s="70"/>
      <c r="C22" s="71"/>
      <c r="D22" s="44"/>
      <c r="E22" s="44"/>
      <c r="G22" s="68" t="s">
        <v>298</v>
      </c>
      <c r="H22" s="70"/>
      <c r="I22" s="71"/>
      <c r="J22" s="44"/>
    </row>
    <row r="23" spans="1:11" ht="15.5" x14ac:dyDescent="0.35">
      <c r="A23" s="72" t="s">
        <v>299</v>
      </c>
      <c r="B23" s="73"/>
      <c r="C23" s="74"/>
      <c r="D23" s="44"/>
      <c r="E23" s="44"/>
      <c r="G23" s="72" t="s">
        <v>299</v>
      </c>
      <c r="H23" s="73"/>
      <c r="I23" s="74"/>
      <c r="J23" s="44"/>
    </row>
    <row r="26" spans="1:11" ht="15.5" x14ac:dyDescent="0.35">
      <c r="A26" s="64" t="s">
        <v>287</v>
      </c>
      <c r="B26" s="59"/>
      <c r="C26" s="60"/>
      <c r="D26" s="45"/>
      <c r="E26" s="45"/>
      <c r="G26" s="64" t="s">
        <v>288</v>
      </c>
      <c r="H26" s="59"/>
      <c r="I26" s="59"/>
      <c r="J26" s="60"/>
      <c r="K26" s="45"/>
    </row>
    <row r="27" spans="1:11" ht="15.5" x14ac:dyDescent="0.35">
      <c r="A27" s="66" t="s">
        <v>187</v>
      </c>
      <c r="B27" s="66" t="s">
        <v>296</v>
      </c>
      <c r="C27" s="67"/>
      <c r="G27" s="66" t="s">
        <v>187</v>
      </c>
      <c r="H27" s="66" t="s">
        <v>296</v>
      </c>
      <c r="I27" s="67"/>
      <c r="J27" s="43"/>
    </row>
    <row r="28" spans="1:11" ht="15.5" x14ac:dyDescent="0.35">
      <c r="A28" s="66" t="s">
        <v>297</v>
      </c>
      <c r="B28" s="68" t="s">
        <v>298</v>
      </c>
      <c r="C28" s="69" t="s">
        <v>299</v>
      </c>
      <c r="G28" s="66" t="s">
        <v>297</v>
      </c>
      <c r="H28" s="68" t="s">
        <v>298</v>
      </c>
      <c r="I28" s="69" t="s">
        <v>299</v>
      </c>
      <c r="J28" s="44"/>
    </row>
    <row r="29" spans="1:11" ht="15.5" x14ac:dyDescent="0.35">
      <c r="A29" s="68" t="s">
        <v>298</v>
      </c>
      <c r="B29" s="70"/>
      <c r="C29" s="71"/>
      <c r="G29" s="68" t="s">
        <v>298</v>
      </c>
      <c r="H29" s="70"/>
      <c r="I29" s="71"/>
      <c r="J29" s="44"/>
    </row>
    <row r="30" spans="1:11" ht="15.5" x14ac:dyDescent="0.35">
      <c r="A30" s="72" t="s">
        <v>299</v>
      </c>
      <c r="B30" s="73"/>
      <c r="C30" s="74"/>
      <c r="G30" s="72" t="s">
        <v>299</v>
      </c>
      <c r="H30" s="73"/>
      <c r="I30" s="74"/>
      <c r="J30" s="44"/>
    </row>
    <row r="33" spans="1:11" ht="15.5" x14ac:dyDescent="0.35">
      <c r="A33" s="64" t="s">
        <v>132</v>
      </c>
      <c r="B33" s="59"/>
      <c r="C33" s="59"/>
      <c r="D33" s="59"/>
      <c r="E33" s="60"/>
      <c r="G33" s="64" t="s">
        <v>235</v>
      </c>
      <c r="H33" s="59"/>
      <c r="I33" s="59"/>
      <c r="J33" s="59"/>
      <c r="K33" s="60"/>
    </row>
    <row r="34" spans="1:11" ht="15.5" x14ac:dyDescent="0.35">
      <c r="A34" s="66" t="s">
        <v>187</v>
      </c>
      <c r="B34" s="66" t="s">
        <v>296</v>
      </c>
      <c r="C34" s="67"/>
      <c r="D34" s="42"/>
      <c r="E34" s="43"/>
      <c r="G34" s="66" t="s">
        <v>187</v>
      </c>
      <c r="H34" s="66" t="s">
        <v>296</v>
      </c>
      <c r="I34" s="67"/>
      <c r="J34" s="42"/>
      <c r="K34" s="43"/>
    </row>
    <row r="35" spans="1:11" ht="15.5" x14ac:dyDescent="0.35">
      <c r="A35" s="66" t="s">
        <v>297</v>
      </c>
      <c r="B35" s="68" t="s">
        <v>298</v>
      </c>
      <c r="C35" s="69" t="s">
        <v>299</v>
      </c>
      <c r="D35" s="44"/>
      <c r="E35" s="44"/>
      <c r="G35" s="66" t="s">
        <v>297</v>
      </c>
      <c r="H35" s="68" t="s">
        <v>298</v>
      </c>
      <c r="I35" s="69" t="s">
        <v>299</v>
      </c>
      <c r="J35" s="44"/>
      <c r="K35" s="44"/>
    </row>
    <row r="36" spans="1:11" ht="15.5" x14ac:dyDescent="0.35">
      <c r="A36" s="68" t="s">
        <v>298</v>
      </c>
      <c r="B36" s="70"/>
      <c r="C36" s="71"/>
      <c r="D36" s="44"/>
      <c r="E36" s="44"/>
      <c r="G36" s="68" t="s">
        <v>298</v>
      </c>
      <c r="H36" s="70"/>
      <c r="I36" s="71"/>
      <c r="J36" s="44"/>
      <c r="K36" s="44"/>
    </row>
    <row r="37" spans="1:11" ht="15.5" x14ac:dyDescent="0.35">
      <c r="A37" s="72" t="s">
        <v>299</v>
      </c>
      <c r="B37" s="73"/>
      <c r="C37" s="74"/>
      <c r="D37" s="44"/>
      <c r="E37" s="44"/>
      <c r="G37" s="72" t="s">
        <v>299</v>
      </c>
      <c r="H37" s="73"/>
      <c r="I37" s="74"/>
      <c r="J37" s="44"/>
      <c r="K37" s="44"/>
    </row>
    <row r="40" spans="1:11" ht="15.5" x14ac:dyDescent="0.35">
      <c r="A40" s="64" t="s">
        <v>87</v>
      </c>
      <c r="B40" s="59"/>
      <c r="C40" s="59"/>
      <c r="D40" s="59"/>
      <c r="E40" s="60"/>
      <c r="G40" s="64" t="s">
        <v>188</v>
      </c>
      <c r="H40" s="59"/>
      <c r="I40" s="60"/>
      <c r="J40" s="45"/>
      <c r="K40" s="45"/>
    </row>
    <row r="41" spans="1:11" ht="15.5" x14ac:dyDescent="0.35">
      <c r="A41" s="66" t="s">
        <v>187</v>
      </c>
      <c r="B41" s="66" t="s">
        <v>296</v>
      </c>
      <c r="C41" s="67"/>
      <c r="D41" s="42"/>
      <c r="E41" s="43"/>
      <c r="G41" s="66" t="s">
        <v>187</v>
      </c>
      <c r="H41" s="66" t="s">
        <v>296</v>
      </c>
      <c r="I41" s="67"/>
    </row>
    <row r="42" spans="1:11" ht="15.5" x14ac:dyDescent="0.35">
      <c r="A42" s="66" t="s">
        <v>297</v>
      </c>
      <c r="B42" s="68" t="s">
        <v>298</v>
      </c>
      <c r="C42" s="69" t="s">
        <v>299</v>
      </c>
      <c r="D42" s="44"/>
      <c r="E42" s="44"/>
      <c r="G42" s="66" t="s">
        <v>297</v>
      </c>
      <c r="H42" s="68" t="s">
        <v>298</v>
      </c>
      <c r="I42" s="69" t="s">
        <v>299</v>
      </c>
    </row>
    <row r="43" spans="1:11" ht="15.5" x14ac:dyDescent="0.35">
      <c r="A43" s="68" t="s">
        <v>298</v>
      </c>
      <c r="B43" s="70"/>
      <c r="C43" s="71"/>
      <c r="D43" s="44"/>
      <c r="E43" s="44"/>
      <c r="G43" s="68" t="s">
        <v>298</v>
      </c>
      <c r="H43" s="70"/>
      <c r="I43" s="71"/>
    </row>
    <row r="44" spans="1:11" ht="15.5" x14ac:dyDescent="0.35">
      <c r="A44" s="72" t="s">
        <v>299</v>
      </c>
      <c r="B44" s="73"/>
      <c r="C44" s="74"/>
      <c r="D44" s="44"/>
      <c r="E44" s="44"/>
      <c r="G44" s="72" t="s">
        <v>299</v>
      </c>
      <c r="H44" s="73"/>
      <c r="I44" s="74"/>
    </row>
    <row r="47" spans="1:11" ht="15.5" x14ac:dyDescent="0.35">
      <c r="A47" s="64" t="s">
        <v>277</v>
      </c>
      <c r="B47" s="59"/>
      <c r="C47" s="60"/>
      <c r="D47" s="45"/>
      <c r="E47" s="45"/>
    </row>
    <row r="48" spans="1:11" ht="15.5" x14ac:dyDescent="0.35">
      <c r="A48" s="66" t="s">
        <v>187</v>
      </c>
      <c r="B48" s="66" t="s">
        <v>296</v>
      </c>
      <c r="C48" s="67"/>
    </row>
    <row r="49" spans="1:3" ht="15.5" x14ac:dyDescent="0.35">
      <c r="A49" s="66" t="s">
        <v>297</v>
      </c>
      <c r="B49" s="68" t="s">
        <v>298</v>
      </c>
      <c r="C49" s="69" t="s">
        <v>299</v>
      </c>
    </row>
    <row r="50" spans="1:3" ht="15.5" x14ac:dyDescent="0.35">
      <c r="A50" s="68" t="s">
        <v>298</v>
      </c>
      <c r="B50" s="70"/>
      <c r="C50" s="71"/>
    </row>
    <row r="51" spans="1:3" ht="15.5" x14ac:dyDescent="0.35">
      <c r="A51" s="72" t="s">
        <v>299</v>
      </c>
      <c r="B51" s="73"/>
      <c r="C51" s="74"/>
    </row>
  </sheetData>
  <mergeCells count="14">
    <mergeCell ref="A47:C47"/>
    <mergeCell ref="A1:L2"/>
    <mergeCell ref="A4:E4"/>
    <mergeCell ref="G4:I4"/>
    <mergeCell ref="A12:E12"/>
    <mergeCell ref="G12:K12"/>
    <mergeCell ref="A19:E19"/>
    <mergeCell ref="G19:J19"/>
    <mergeCell ref="A26:C26"/>
    <mergeCell ref="G26:J26"/>
    <mergeCell ref="A33:E33"/>
    <mergeCell ref="G33:K33"/>
    <mergeCell ref="A40:E40"/>
    <mergeCell ref="G40:I4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G135"/>
  <sheetViews>
    <sheetView tabSelected="1" workbookViewId="0">
      <selection activeCell="H1" sqref="H1:H1048576"/>
    </sheetView>
  </sheetViews>
  <sheetFormatPr defaultColWidth="10.07421875" defaultRowHeight="15" customHeight="1" x14ac:dyDescent="0.35"/>
  <cols>
    <col min="1" max="1" width="27.765625" customWidth="1"/>
    <col min="2" max="2" width="14.3828125" customWidth="1"/>
    <col min="3" max="3" width="17.07421875" customWidth="1"/>
    <col min="4" max="4" width="8.69140625" customWidth="1"/>
    <col min="5" max="5" width="12.4609375" customWidth="1"/>
    <col min="6" max="6" width="12" customWidth="1"/>
    <col min="7" max="7" width="7.921875" customWidth="1"/>
  </cols>
  <sheetData>
    <row r="1" spans="1:7" ht="15" customHeight="1" x14ac:dyDescent="0.35">
      <c r="A1" s="46" t="s">
        <v>289</v>
      </c>
      <c r="B1" s="46" t="s">
        <v>290</v>
      </c>
      <c r="C1" s="46" t="s">
        <v>291</v>
      </c>
      <c r="D1" s="46" t="s">
        <v>292</v>
      </c>
      <c r="E1" s="46" t="s">
        <v>293</v>
      </c>
      <c r="F1" s="46" t="s">
        <v>294</v>
      </c>
      <c r="G1" s="46" t="s">
        <v>12</v>
      </c>
    </row>
    <row r="2" spans="1:7" ht="15" customHeight="1" x14ac:dyDescent="0.35">
      <c r="A2" s="41" t="s">
        <v>13</v>
      </c>
      <c r="B2" s="41" t="s">
        <v>5</v>
      </c>
      <c r="C2" s="41">
        <v>1</v>
      </c>
      <c r="D2" s="41">
        <v>0</v>
      </c>
      <c r="F2" s="41">
        <v>0</v>
      </c>
      <c r="G2" s="41">
        <v>0</v>
      </c>
    </row>
    <row r="3" spans="1:7" ht="15" customHeight="1" x14ac:dyDescent="0.35">
      <c r="A3" s="41" t="s">
        <v>16</v>
      </c>
      <c r="B3" s="41" t="s">
        <v>5</v>
      </c>
      <c r="C3" s="41">
        <v>1</v>
      </c>
      <c r="D3" s="41">
        <v>27</v>
      </c>
      <c r="F3" s="41">
        <v>70</v>
      </c>
      <c r="G3" s="41">
        <v>97</v>
      </c>
    </row>
    <row r="4" spans="1:7" ht="15" customHeight="1" x14ac:dyDescent="0.35">
      <c r="A4" s="41" t="s">
        <v>17</v>
      </c>
      <c r="B4" s="41" t="s">
        <v>5</v>
      </c>
      <c r="C4" s="41">
        <v>1</v>
      </c>
      <c r="D4" s="41">
        <v>27</v>
      </c>
      <c r="F4" s="41">
        <v>60</v>
      </c>
      <c r="G4" s="41">
        <v>87</v>
      </c>
    </row>
    <row r="5" spans="1:7" ht="15" customHeight="1" x14ac:dyDescent="0.35">
      <c r="A5" s="41" t="s">
        <v>19</v>
      </c>
      <c r="B5" s="41" t="s">
        <v>5</v>
      </c>
      <c r="C5" s="41">
        <v>1</v>
      </c>
      <c r="D5" s="41">
        <v>14</v>
      </c>
      <c r="F5" s="41">
        <v>60</v>
      </c>
      <c r="G5" s="41">
        <v>74</v>
      </c>
    </row>
    <row r="6" spans="1:7" ht="15" customHeight="1" x14ac:dyDescent="0.35">
      <c r="A6" s="41" t="s">
        <v>20</v>
      </c>
      <c r="B6" s="41" t="s">
        <v>5</v>
      </c>
      <c r="C6" s="41">
        <v>1</v>
      </c>
      <c r="D6" s="41">
        <v>28</v>
      </c>
      <c r="F6" s="41">
        <v>70</v>
      </c>
      <c r="G6" s="41">
        <v>98</v>
      </c>
    </row>
    <row r="7" spans="1:7" ht="15" customHeight="1" x14ac:dyDescent="0.35">
      <c r="A7" s="41" t="s">
        <v>24</v>
      </c>
      <c r="B7" s="41" t="s">
        <v>5</v>
      </c>
      <c r="C7" s="41">
        <v>1</v>
      </c>
      <c r="D7" s="41">
        <v>21</v>
      </c>
      <c r="F7" s="41">
        <v>70</v>
      </c>
      <c r="G7" s="41">
        <v>91</v>
      </c>
    </row>
    <row r="8" spans="1:7" ht="15" customHeight="1" x14ac:dyDescent="0.35">
      <c r="A8" s="41" t="s">
        <v>26</v>
      </c>
      <c r="B8" s="41" t="s">
        <v>5</v>
      </c>
      <c r="C8" s="41">
        <v>1</v>
      </c>
      <c r="D8" s="41">
        <v>8</v>
      </c>
      <c r="F8" s="41">
        <v>70</v>
      </c>
      <c r="G8" s="41">
        <v>78</v>
      </c>
    </row>
    <row r="9" spans="1:7" ht="15" customHeight="1" x14ac:dyDescent="0.35">
      <c r="A9" s="41" t="s">
        <v>28</v>
      </c>
      <c r="B9" s="41" t="s">
        <v>5</v>
      </c>
      <c r="C9" s="41">
        <v>1</v>
      </c>
      <c r="D9" s="41">
        <v>8</v>
      </c>
      <c r="F9" s="41">
        <v>10</v>
      </c>
      <c r="G9" s="41">
        <v>18</v>
      </c>
    </row>
    <row r="10" spans="1:7" ht="15" customHeight="1" x14ac:dyDescent="0.35">
      <c r="A10" s="41" t="s">
        <v>30</v>
      </c>
      <c r="B10" s="41" t="s">
        <v>5</v>
      </c>
      <c r="C10" s="41">
        <v>1</v>
      </c>
      <c r="D10" s="41">
        <v>18</v>
      </c>
      <c r="F10" s="41">
        <v>0</v>
      </c>
      <c r="G10" s="41">
        <v>18</v>
      </c>
    </row>
    <row r="11" spans="1:7" ht="15" customHeight="1" x14ac:dyDescent="0.35">
      <c r="A11" s="41" t="s">
        <v>33</v>
      </c>
      <c r="B11" s="41" t="s">
        <v>5</v>
      </c>
      <c r="C11" s="41">
        <v>1</v>
      </c>
      <c r="D11" s="41">
        <v>17</v>
      </c>
      <c r="F11" s="41">
        <v>70</v>
      </c>
      <c r="G11" s="41">
        <v>87</v>
      </c>
    </row>
    <row r="12" spans="1:7" ht="15" customHeight="1" x14ac:dyDescent="0.35">
      <c r="A12" s="41" t="s">
        <v>34</v>
      </c>
      <c r="B12" s="41" t="s">
        <v>5</v>
      </c>
      <c r="C12" s="41">
        <v>1</v>
      </c>
      <c r="D12" s="41">
        <v>24</v>
      </c>
      <c r="F12" s="41">
        <v>50</v>
      </c>
      <c r="G12" s="41">
        <v>74</v>
      </c>
    </row>
    <row r="13" spans="1:7" ht="15" customHeight="1" x14ac:dyDescent="0.35">
      <c r="A13" s="41" t="s">
        <v>39</v>
      </c>
      <c r="B13" s="41" t="s">
        <v>5</v>
      </c>
      <c r="C13" s="41">
        <v>1</v>
      </c>
      <c r="D13" s="41">
        <v>7</v>
      </c>
      <c r="F13" s="41">
        <v>60</v>
      </c>
      <c r="G13" s="41">
        <v>67</v>
      </c>
    </row>
    <row r="14" spans="1:7" ht="15" customHeight="1" x14ac:dyDescent="0.35">
      <c r="A14" s="41" t="s">
        <v>40</v>
      </c>
      <c r="B14" s="41" t="s">
        <v>5</v>
      </c>
      <c r="C14" s="41">
        <v>1</v>
      </c>
      <c r="D14" s="41">
        <v>6</v>
      </c>
      <c r="F14" s="41">
        <v>70</v>
      </c>
      <c r="G14" s="41">
        <v>76</v>
      </c>
    </row>
    <row r="15" spans="1:7" ht="15" customHeight="1" x14ac:dyDescent="0.35">
      <c r="A15" s="41" t="s">
        <v>45</v>
      </c>
      <c r="B15" s="41" t="s">
        <v>5</v>
      </c>
      <c r="C15" s="41">
        <v>1</v>
      </c>
      <c r="D15" s="41">
        <v>7</v>
      </c>
      <c r="F15" s="41">
        <v>50</v>
      </c>
      <c r="G15" s="41">
        <v>57</v>
      </c>
    </row>
    <row r="16" spans="1:7" ht="15" customHeight="1" x14ac:dyDescent="0.35">
      <c r="A16" s="41" t="s">
        <v>46</v>
      </c>
      <c r="B16" s="41" t="s">
        <v>5</v>
      </c>
      <c r="C16" s="41">
        <v>1</v>
      </c>
      <c r="D16" s="41">
        <v>7</v>
      </c>
      <c r="F16" s="41">
        <v>70</v>
      </c>
      <c r="G16" s="41">
        <v>77</v>
      </c>
    </row>
    <row r="17" spans="1:7" ht="15" customHeight="1" x14ac:dyDescent="0.35">
      <c r="A17" s="41" t="s">
        <v>47</v>
      </c>
      <c r="B17" s="41" t="s">
        <v>5</v>
      </c>
      <c r="C17" s="41">
        <v>1</v>
      </c>
      <c r="D17" s="41">
        <v>6</v>
      </c>
      <c r="F17" s="41">
        <v>60</v>
      </c>
      <c r="G17" s="41">
        <v>66</v>
      </c>
    </row>
    <row r="18" spans="1:7" ht="15" customHeight="1" x14ac:dyDescent="0.35">
      <c r="A18" s="41" t="s">
        <v>48</v>
      </c>
      <c r="B18" s="41" t="s">
        <v>5</v>
      </c>
      <c r="C18" s="41">
        <v>1</v>
      </c>
      <c r="D18" s="41">
        <v>6</v>
      </c>
      <c r="F18" s="41">
        <v>60</v>
      </c>
      <c r="G18" s="41">
        <v>66</v>
      </c>
    </row>
    <row r="19" spans="1:7" ht="15.5" x14ac:dyDescent="0.35">
      <c r="A19" s="41" t="s">
        <v>52</v>
      </c>
      <c r="B19" s="41" t="s">
        <v>5</v>
      </c>
      <c r="C19" s="41">
        <v>1</v>
      </c>
      <c r="D19" s="41">
        <v>21</v>
      </c>
      <c r="F19" s="41">
        <v>70</v>
      </c>
      <c r="G19" s="41">
        <v>91</v>
      </c>
    </row>
    <row r="20" spans="1:7" ht="15.5" x14ac:dyDescent="0.35">
      <c r="A20" s="41" t="s">
        <v>54</v>
      </c>
      <c r="B20" s="41" t="s">
        <v>5</v>
      </c>
      <c r="C20" s="41">
        <v>1</v>
      </c>
      <c r="D20" s="41">
        <v>20</v>
      </c>
      <c r="F20" s="41">
        <v>70</v>
      </c>
      <c r="G20" s="41">
        <v>90</v>
      </c>
    </row>
    <row r="21" spans="1:7" ht="15.5" x14ac:dyDescent="0.35">
      <c r="A21" s="41" t="s">
        <v>56</v>
      </c>
      <c r="B21" s="41" t="s">
        <v>5</v>
      </c>
      <c r="C21" s="41">
        <v>1</v>
      </c>
      <c r="D21" s="41">
        <v>23</v>
      </c>
      <c r="F21" s="41">
        <v>50</v>
      </c>
      <c r="G21" s="41">
        <v>73</v>
      </c>
    </row>
    <row r="22" spans="1:7" ht="15.5" x14ac:dyDescent="0.35">
      <c r="A22" s="41" t="s">
        <v>58</v>
      </c>
      <c r="B22" s="41" t="s">
        <v>5</v>
      </c>
      <c r="C22" s="41">
        <v>1</v>
      </c>
      <c r="D22" s="41">
        <v>18</v>
      </c>
      <c r="F22" s="41">
        <v>70</v>
      </c>
      <c r="G22" s="41">
        <v>88</v>
      </c>
    </row>
    <row r="23" spans="1:7" ht="15.5" x14ac:dyDescent="0.35">
      <c r="A23" s="41" t="s">
        <v>59</v>
      </c>
      <c r="B23" s="41" t="s">
        <v>5</v>
      </c>
      <c r="C23" s="41">
        <v>1</v>
      </c>
      <c r="D23" s="41">
        <v>8</v>
      </c>
      <c r="F23" s="41">
        <v>60</v>
      </c>
      <c r="G23" s="41">
        <v>68</v>
      </c>
    </row>
    <row r="24" spans="1:7" ht="15.5" x14ac:dyDescent="0.35">
      <c r="A24" s="41" t="s">
        <v>60</v>
      </c>
      <c r="B24" s="41" t="s">
        <v>5</v>
      </c>
      <c r="C24" s="41">
        <v>1</v>
      </c>
      <c r="D24" s="41">
        <v>19</v>
      </c>
      <c r="F24" s="41">
        <v>70</v>
      </c>
      <c r="G24" s="41">
        <v>89</v>
      </c>
    </row>
    <row r="25" spans="1:7" ht="15.5" x14ac:dyDescent="0.35">
      <c r="A25" s="41" t="s">
        <v>61</v>
      </c>
      <c r="B25" s="41" t="s">
        <v>5</v>
      </c>
      <c r="C25" s="41">
        <v>1</v>
      </c>
      <c r="D25" s="41">
        <v>13</v>
      </c>
      <c r="F25" s="41">
        <v>60</v>
      </c>
      <c r="G25" s="41">
        <v>73</v>
      </c>
    </row>
    <row r="26" spans="1:7" ht="15.5" x14ac:dyDescent="0.35">
      <c r="A26" s="41" t="s">
        <v>62</v>
      </c>
      <c r="B26" s="41" t="s">
        <v>5</v>
      </c>
      <c r="C26" s="41">
        <v>1</v>
      </c>
      <c r="D26" s="41">
        <v>22</v>
      </c>
      <c r="F26" s="41">
        <v>70</v>
      </c>
      <c r="G26" s="41">
        <v>92</v>
      </c>
    </row>
    <row r="27" spans="1:7" ht="15.5" x14ac:dyDescent="0.35">
      <c r="A27" s="41" t="s">
        <v>63</v>
      </c>
      <c r="B27" s="41" t="s">
        <v>5</v>
      </c>
      <c r="C27" s="41">
        <v>1</v>
      </c>
      <c r="D27" s="41">
        <v>0</v>
      </c>
      <c r="F27" s="41">
        <v>70</v>
      </c>
      <c r="G27" s="41">
        <v>70</v>
      </c>
    </row>
    <row r="28" spans="1:7" ht="15.5" x14ac:dyDescent="0.35">
      <c r="A28" s="41" t="s">
        <v>64</v>
      </c>
      <c r="B28" s="41" t="s">
        <v>5</v>
      </c>
      <c r="C28" s="41">
        <v>1</v>
      </c>
      <c r="D28" s="41">
        <v>24</v>
      </c>
      <c r="F28" s="41">
        <v>60</v>
      </c>
      <c r="G28" s="41">
        <v>84</v>
      </c>
    </row>
    <row r="29" spans="1:7" ht="15.5" x14ac:dyDescent="0.35">
      <c r="A29" s="41" t="s">
        <v>66</v>
      </c>
      <c r="B29" s="41" t="s">
        <v>5</v>
      </c>
      <c r="C29" s="41">
        <v>1</v>
      </c>
      <c r="D29" s="41">
        <v>22</v>
      </c>
      <c r="F29" s="41">
        <v>60</v>
      </c>
      <c r="G29" s="41">
        <v>82</v>
      </c>
    </row>
    <row r="30" spans="1:7" ht="15.5" x14ac:dyDescent="0.35">
      <c r="A30" s="41" t="s">
        <v>68</v>
      </c>
      <c r="B30" s="41" t="s">
        <v>5</v>
      </c>
      <c r="C30" s="41">
        <v>1</v>
      </c>
      <c r="D30" s="41">
        <v>16</v>
      </c>
      <c r="F30" s="41">
        <v>70</v>
      </c>
      <c r="G30" s="41">
        <v>86</v>
      </c>
    </row>
    <row r="31" spans="1:7" ht="15.5" x14ac:dyDescent="0.35">
      <c r="A31" s="41" t="s">
        <v>69</v>
      </c>
      <c r="B31" s="41" t="s">
        <v>5</v>
      </c>
      <c r="C31" s="41">
        <v>1</v>
      </c>
      <c r="D31" s="41">
        <v>23</v>
      </c>
      <c r="F31" s="41">
        <v>60</v>
      </c>
      <c r="G31" s="41">
        <v>83</v>
      </c>
    </row>
    <row r="32" spans="1:7" ht="15.5" x14ac:dyDescent="0.35">
      <c r="A32" s="41" t="s">
        <v>70</v>
      </c>
      <c r="B32" s="41" t="s">
        <v>5</v>
      </c>
      <c r="C32" s="41">
        <v>1</v>
      </c>
      <c r="D32" s="41">
        <v>17</v>
      </c>
      <c r="F32" s="41">
        <v>60</v>
      </c>
      <c r="G32" s="41">
        <v>77</v>
      </c>
    </row>
    <row r="33" spans="1:7" ht="15.5" x14ac:dyDescent="0.35">
      <c r="A33" s="41" t="s">
        <v>72</v>
      </c>
      <c r="B33" s="41" t="s">
        <v>5</v>
      </c>
      <c r="C33" s="41">
        <v>1</v>
      </c>
      <c r="D33" s="41">
        <v>18</v>
      </c>
      <c r="F33" s="41">
        <v>70</v>
      </c>
      <c r="G33" s="41">
        <v>88</v>
      </c>
    </row>
    <row r="34" spans="1:7" ht="15.5" x14ac:dyDescent="0.35">
      <c r="A34" s="41" t="s">
        <v>73</v>
      </c>
      <c r="B34" s="41" t="s">
        <v>5</v>
      </c>
      <c r="C34" s="41">
        <v>1</v>
      </c>
      <c r="D34" s="41">
        <v>17</v>
      </c>
      <c r="F34" s="41">
        <v>70</v>
      </c>
      <c r="G34" s="41">
        <v>87</v>
      </c>
    </row>
    <row r="35" spans="1:7" ht="15.5" x14ac:dyDescent="0.35">
      <c r="A35" s="41" t="s">
        <v>74</v>
      </c>
      <c r="B35" s="41" t="s">
        <v>5</v>
      </c>
      <c r="C35" s="41">
        <v>1</v>
      </c>
      <c r="D35" s="41">
        <v>17</v>
      </c>
      <c r="F35" s="41">
        <v>60</v>
      </c>
      <c r="G35" s="41">
        <v>77</v>
      </c>
    </row>
    <row r="36" spans="1:7" ht="15.5" x14ac:dyDescent="0.35">
      <c r="A36" s="41" t="s">
        <v>77</v>
      </c>
      <c r="B36" s="41" t="s">
        <v>5</v>
      </c>
      <c r="C36" s="41">
        <v>1</v>
      </c>
      <c r="D36" s="41">
        <v>27</v>
      </c>
      <c r="F36" s="41">
        <v>70</v>
      </c>
      <c r="G36" s="41">
        <v>97</v>
      </c>
    </row>
    <row r="37" spans="1:7" ht="15.5" x14ac:dyDescent="0.35">
      <c r="A37" s="41" t="s">
        <v>79</v>
      </c>
      <c r="B37" s="41" t="s">
        <v>5</v>
      </c>
      <c r="C37" s="41">
        <v>1</v>
      </c>
      <c r="D37" s="41">
        <v>0</v>
      </c>
      <c r="F37" s="41">
        <v>60</v>
      </c>
      <c r="G37" s="41">
        <v>60</v>
      </c>
    </row>
    <row r="38" spans="1:7" ht="15.5" x14ac:dyDescent="0.35">
      <c r="A38" s="41" t="s">
        <v>80</v>
      </c>
      <c r="B38" s="41" t="s">
        <v>5</v>
      </c>
      <c r="C38" s="41">
        <v>1</v>
      </c>
      <c r="D38" s="41">
        <v>16</v>
      </c>
      <c r="F38" s="41">
        <v>60</v>
      </c>
      <c r="G38" s="41">
        <v>76</v>
      </c>
    </row>
    <row r="39" spans="1:7" ht="15.5" x14ac:dyDescent="0.35">
      <c r="A39" s="41" t="s">
        <v>82</v>
      </c>
      <c r="B39" s="41" t="s">
        <v>5</v>
      </c>
      <c r="C39" s="41">
        <v>1</v>
      </c>
      <c r="D39" s="41">
        <v>29</v>
      </c>
      <c r="F39" s="41">
        <v>70</v>
      </c>
      <c r="G39" s="41">
        <v>99</v>
      </c>
    </row>
    <row r="40" spans="1:7" ht="15.5" x14ac:dyDescent="0.35">
      <c r="A40" s="41" t="s">
        <v>86</v>
      </c>
      <c r="B40" s="41" t="s">
        <v>5</v>
      </c>
      <c r="C40" s="41">
        <v>1</v>
      </c>
      <c r="D40" s="41">
        <v>27</v>
      </c>
      <c r="F40" s="41">
        <v>70</v>
      </c>
      <c r="G40" s="41">
        <v>97</v>
      </c>
    </row>
    <row r="41" spans="1:7" ht="15.5" x14ac:dyDescent="0.35">
      <c r="A41" s="41" t="s">
        <v>16</v>
      </c>
      <c r="B41" s="41" t="s">
        <v>6</v>
      </c>
      <c r="C41" s="41">
        <v>1</v>
      </c>
      <c r="G41" s="41">
        <v>80</v>
      </c>
    </row>
    <row r="42" spans="1:7" ht="15.5" x14ac:dyDescent="0.35">
      <c r="A42" s="41" t="s">
        <v>19</v>
      </c>
      <c r="B42" s="41" t="s">
        <v>6</v>
      </c>
      <c r="C42" s="41">
        <v>1</v>
      </c>
      <c r="G42" s="41">
        <v>70</v>
      </c>
    </row>
    <row r="43" spans="1:7" ht="15.5" x14ac:dyDescent="0.35">
      <c r="A43" s="41" t="s">
        <v>20</v>
      </c>
      <c r="B43" s="41" t="s">
        <v>6</v>
      </c>
      <c r="C43" s="41">
        <v>1</v>
      </c>
      <c r="G43" s="41">
        <v>80</v>
      </c>
    </row>
    <row r="44" spans="1:7" ht="15.5" x14ac:dyDescent="0.35">
      <c r="A44" s="41" t="s">
        <v>24</v>
      </c>
      <c r="B44" s="41" t="s">
        <v>6</v>
      </c>
      <c r="C44" s="41">
        <v>1</v>
      </c>
      <c r="G44" s="41">
        <v>82</v>
      </c>
    </row>
    <row r="45" spans="1:7" ht="15.5" x14ac:dyDescent="0.35">
      <c r="A45" s="41" t="s">
        <v>26</v>
      </c>
      <c r="B45" s="41" t="s">
        <v>6</v>
      </c>
      <c r="C45" s="41">
        <v>1</v>
      </c>
      <c r="G45" s="41">
        <v>85</v>
      </c>
    </row>
    <row r="46" spans="1:7" ht="15.5" x14ac:dyDescent="0.35">
      <c r="A46" s="41" t="s">
        <v>28</v>
      </c>
      <c r="B46" s="41" t="s">
        <v>6</v>
      </c>
      <c r="C46" s="41">
        <v>1</v>
      </c>
      <c r="G46" s="41">
        <v>45</v>
      </c>
    </row>
    <row r="47" spans="1:7" ht="15.5" x14ac:dyDescent="0.35">
      <c r="A47" s="41" t="s">
        <v>30</v>
      </c>
      <c r="B47" s="41" t="s">
        <v>6</v>
      </c>
      <c r="C47" s="41">
        <v>1</v>
      </c>
      <c r="G47" s="41">
        <v>0</v>
      </c>
    </row>
    <row r="48" spans="1:7" ht="15.5" x14ac:dyDescent="0.35">
      <c r="A48" s="41" t="s">
        <v>33</v>
      </c>
      <c r="B48" s="41" t="s">
        <v>6</v>
      </c>
      <c r="C48" s="41">
        <v>1</v>
      </c>
      <c r="G48" s="41">
        <v>90</v>
      </c>
    </row>
    <row r="49" spans="1:7" ht="15.5" x14ac:dyDescent="0.35">
      <c r="A49" s="41" t="s">
        <v>34</v>
      </c>
      <c r="B49" s="41" t="s">
        <v>6</v>
      </c>
      <c r="C49" s="41">
        <v>1</v>
      </c>
      <c r="G49" s="41">
        <v>55</v>
      </c>
    </row>
    <row r="50" spans="1:7" ht="15.5" x14ac:dyDescent="0.35">
      <c r="A50" s="41" t="s">
        <v>39</v>
      </c>
      <c r="B50" s="41" t="s">
        <v>6</v>
      </c>
      <c r="C50" s="41">
        <v>1</v>
      </c>
      <c r="G50" s="41">
        <v>78</v>
      </c>
    </row>
    <row r="51" spans="1:7" ht="15.5" x14ac:dyDescent="0.35">
      <c r="A51" s="41" t="s">
        <v>40</v>
      </c>
      <c r="B51" s="41" t="s">
        <v>6</v>
      </c>
      <c r="C51" s="41">
        <v>1</v>
      </c>
      <c r="G51" s="41">
        <v>95</v>
      </c>
    </row>
    <row r="52" spans="1:7" ht="15.5" x14ac:dyDescent="0.35">
      <c r="A52" s="41" t="s">
        <v>45</v>
      </c>
      <c r="B52" s="41" t="s">
        <v>6</v>
      </c>
      <c r="C52" s="41">
        <v>1</v>
      </c>
      <c r="G52" s="41">
        <v>62</v>
      </c>
    </row>
    <row r="53" spans="1:7" ht="15.5" x14ac:dyDescent="0.35">
      <c r="A53" s="41" t="s">
        <v>46</v>
      </c>
      <c r="B53" s="41" t="s">
        <v>6</v>
      </c>
      <c r="C53" s="41">
        <v>1</v>
      </c>
      <c r="G53" s="41">
        <v>95</v>
      </c>
    </row>
    <row r="54" spans="1:7" ht="15.5" x14ac:dyDescent="0.35">
      <c r="A54" s="41" t="s">
        <v>47</v>
      </c>
      <c r="B54" s="41" t="s">
        <v>6</v>
      </c>
      <c r="C54" s="41">
        <v>1</v>
      </c>
      <c r="G54" s="41">
        <v>80</v>
      </c>
    </row>
    <row r="55" spans="1:7" ht="15.5" x14ac:dyDescent="0.35">
      <c r="A55" s="41" t="s">
        <v>48</v>
      </c>
      <c r="B55" s="41" t="s">
        <v>6</v>
      </c>
      <c r="C55" s="41">
        <v>1</v>
      </c>
      <c r="G55" s="41">
        <v>50</v>
      </c>
    </row>
    <row r="56" spans="1:7" ht="15.5" x14ac:dyDescent="0.35">
      <c r="A56" s="41" t="s">
        <v>52</v>
      </c>
      <c r="B56" s="41" t="s">
        <v>6</v>
      </c>
      <c r="C56" s="41">
        <v>1</v>
      </c>
      <c r="G56" s="41">
        <v>100</v>
      </c>
    </row>
    <row r="57" spans="1:7" ht="15.5" x14ac:dyDescent="0.35">
      <c r="A57" s="41" t="s">
        <v>54</v>
      </c>
      <c r="B57" s="41" t="s">
        <v>6</v>
      </c>
      <c r="C57" s="41">
        <v>1</v>
      </c>
      <c r="G57" s="41">
        <v>98</v>
      </c>
    </row>
    <row r="58" spans="1:7" ht="15.5" x14ac:dyDescent="0.35">
      <c r="A58" s="41" t="s">
        <v>56</v>
      </c>
      <c r="B58" s="41" t="s">
        <v>6</v>
      </c>
      <c r="C58" s="41">
        <v>1</v>
      </c>
      <c r="G58" s="41">
        <v>80</v>
      </c>
    </row>
    <row r="59" spans="1:7" ht="15.5" x14ac:dyDescent="0.35">
      <c r="A59" s="41" t="s">
        <v>58</v>
      </c>
      <c r="B59" s="41" t="s">
        <v>6</v>
      </c>
      <c r="C59" s="41">
        <v>1</v>
      </c>
      <c r="G59" s="41">
        <v>90</v>
      </c>
    </row>
    <row r="60" spans="1:7" ht="15.5" x14ac:dyDescent="0.35">
      <c r="A60" s="41" t="s">
        <v>59</v>
      </c>
      <c r="B60" s="41" t="s">
        <v>6</v>
      </c>
      <c r="C60" s="41">
        <v>1</v>
      </c>
      <c r="G60" s="41">
        <v>100</v>
      </c>
    </row>
    <row r="61" spans="1:7" ht="15.5" x14ac:dyDescent="0.35">
      <c r="A61" s="41" t="s">
        <v>60</v>
      </c>
      <c r="B61" s="41" t="s">
        <v>6</v>
      </c>
      <c r="C61" s="41">
        <v>1</v>
      </c>
      <c r="G61" s="41">
        <v>90</v>
      </c>
    </row>
    <row r="62" spans="1:7" ht="15.5" x14ac:dyDescent="0.35">
      <c r="A62" s="41" t="s">
        <v>61</v>
      </c>
      <c r="B62" s="41" t="s">
        <v>6</v>
      </c>
      <c r="C62" s="41">
        <v>1</v>
      </c>
      <c r="G62" s="41">
        <v>62</v>
      </c>
    </row>
    <row r="63" spans="1:7" ht="15.5" x14ac:dyDescent="0.35">
      <c r="A63" s="41" t="s">
        <v>62</v>
      </c>
      <c r="B63" s="41" t="s">
        <v>6</v>
      </c>
      <c r="C63" s="41">
        <v>1</v>
      </c>
      <c r="G63" s="41">
        <v>85</v>
      </c>
    </row>
    <row r="64" spans="1:7" ht="15.5" x14ac:dyDescent="0.35">
      <c r="A64" s="41" t="s">
        <v>63</v>
      </c>
      <c r="B64" s="41" t="s">
        <v>6</v>
      </c>
      <c r="C64" s="41">
        <v>1</v>
      </c>
      <c r="G64" s="41">
        <v>87</v>
      </c>
    </row>
    <row r="65" spans="1:7" ht="15.5" x14ac:dyDescent="0.35">
      <c r="A65" s="41" t="s">
        <v>64</v>
      </c>
      <c r="B65" s="41" t="s">
        <v>6</v>
      </c>
      <c r="C65" s="41">
        <v>1</v>
      </c>
      <c r="G65" s="41">
        <v>90</v>
      </c>
    </row>
    <row r="66" spans="1:7" ht="15.5" x14ac:dyDescent="0.35">
      <c r="A66" s="41" t="s">
        <v>66</v>
      </c>
      <c r="B66" s="41" t="s">
        <v>6</v>
      </c>
      <c r="C66" s="41">
        <v>1</v>
      </c>
      <c r="G66" s="41">
        <v>55</v>
      </c>
    </row>
    <row r="67" spans="1:7" ht="15.5" x14ac:dyDescent="0.35">
      <c r="A67" s="41" t="s">
        <v>68</v>
      </c>
      <c r="B67" s="41" t="s">
        <v>6</v>
      </c>
      <c r="C67" s="41">
        <v>1</v>
      </c>
      <c r="G67" s="41">
        <v>85</v>
      </c>
    </row>
    <row r="68" spans="1:7" ht="15.5" x14ac:dyDescent="0.35">
      <c r="A68" s="41" t="s">
        <v>69</v>
      </c>
      <c r="B68" s="41" t="s">
        <v>6</v>
      </c>
      <c r="C68" s="41">
        <v>1</v>
      </c>
      <c r="G68" s="41">
        <v>80</v>
      </c>
    </row>
    <row r="69" spans="1:7" ht="15.5" x14ac:dyDescent="0.35">
      <c r="A69" s="41" t="s">
        <v>70</v>
      </c>
      <c r="B69" s="41" t="s">
        <v>6</v>
      </c>
      <c r="C69" s="41">
        <v>1</v>
      </c>
      <c r="G69" s="41">
        <v>70</v>
      </c>
    </row>
    <row r="70" spans="1:7" ht="15.5" x14ac:dyDescent="0.35">
      <c r="A70" s="41" t="s">
        <v>72</v>
      </c>
      <c r="B70" s="41" t="s">
        <v>6</v>
      </c>
      <c r="C70" s="41">
        <v>1</v>
      </c>
      <c r="G70" s="41">
        <v>90</v>
      </c>
    </row>
    <row r="71" spans="1:7" ht="15.5" x14ac:dyDescent="0.35">
      <c r="A71" s="41" t="s">
        <v>73</v>
      </c>
      <c r="B71" s="41" t="s">
        <v>6</v>
      </c>
      <c r="C71" s="41">
        <v>1</v>
      </c>
      <c r="G71" s="41">
        <v>80</v>
      </c>
    </row>
    <row r="72" spans="1:7" ht="15.5" x14ac:dyDescent="0.35">
      <c r="A72" s="41" t="s">
        <v>74</v>
      </c>
      <c r="B72" s="41" t="s">
        <v>6</v>
      </c>
      <c r="C72" s="41">
        <v>1</v>
      </c>
      <c r="G72" s="41">
        <v>65</v>
      </c>
    </row>
    <row r="73" spans="1:7" ht="15.5" x14ac:dyDescent="0.35">
      <c r="A73" s="41" t="s">
        <v>77</v>
      </c>
      <c r="B73" s="41" t="s">
        <v>6</v>
      </c>
      <c r="C73" s="41">
        <v>1</v>
      </c>
      <c r="G73" s="41">
        <v>100</v>
      </c>
    </row>
    <row r="74" spans="1:7" ht="15.5" x14ac:dyDescent="0.35">
      <c r="A74" s="41" t="s">
        <v>79</v>
      </c>
      <c r="B74" s="41" t="s">
        <v>6</v>
      </c>
      <c r="C74" s="41">
        <v>1</v>
      </c>
      <c r="G74" s="41">
        <v>98</v>
      </c>
    </row>
    <row r="75" spans="1:7" ht="15.5" x14ac:dyDescent="0.35">
      <c r="A75" s="41" t="s">
        <v>80</v>
      </c>
      <c r="B75" s="41" t="s">
        <v>6</v>
      </c>
      <c r="C75" s="41">
        <v>1</v>
      </c>
      <c r="G75" s="41">
        <v>75</v>
      </c>
    </row>
    <row r="76" spans="1:7" ht="15.5" x14ac:dyDescent="0.35">
      <c r="A76" s="41" t="s">
        <v>82</v>
      </c>
      <c r="B76" s="41" t="s">
        <v>6</v>
      </c>
      <c r="C76" s="41">
        <v>1</v>
      </c>
      <c r="G76" s="41">
        <v>70</v>
      </c>
    </row>
    <row r="77" spans="1:7" ht="15.5" x14ac:dyDescent="0.35">
      <c r="A77" s="41" t="s">
        <v>86</v>
      </c>
      <c r="B77" s="41" t="s">
        <v>6</v>
      </c>
      <c r="C77" s="41">
        <v>1</v>
      </c>
      <c r="G77" s="41">
        <v>90</v>
      </c>
    </row>
    <row r="78" spans="1:7" ht="15.5" x14ac:dyDescent="0.35">
      <c r="A78" s="41" t="s">
        <v>15</v>
      </c>
      <c r="B78" s="41" t="s">
        <v>7</v>
      </c>
      <c r="C78" s="41">
        <v>2</v>
      </c>
      <c r="G78" s="41">
        <v>100</v>
      </c>
    </row>
    <row r="79" spans="1:7" ht="15.5" x14ac:dyDescent="0.35">
      <c r="A79" s="41" t="s">
        <v>18</v>
      </c>
      <c r="B79" s="41" t="s">
        <v>7</v>
      </c>
      <c r="C79" s="41">
        <v>2</v>
      </c>
      <c r="G79" s="41">
        <v>80</v>
      </c>
    </row>
    <row r="80" spans="1:7" ht="15.5" x14ac:dyDescent="0.35">
      <c r="A80" s="41" t="s">
        <v>22</v>
      </c>
      <c r="B80" s="41" t="s">
        <v>7</v>
      </c>
      <c r="C80" s="41">
        <v>2</v>
      </c>
      <c r="G80" s="41">
        <v>80</v>
      </c>
    </row>
    <row r="81" spans="1:7" ht="15.5" x14ac:dyDescent="0.35">
      <c r="A81" s="41" t="s">
        <v>25</v>
      </c>
      <c r="B81" s="41" t="s">
        <v>7</v>
      </c>
      <c r="C81" s="41">
        <v>2</v>
      </c>
      <c r="G81" s="41">
        <v>90</v>
      </c>
    </row>
    <row r="82" spans="1:7" ht="15.5" x14ac:dyDescent="0.35">
      <c r="A82" s="41" t="s">
        <v>27</v>
      </c>
      <c r="B82" s="41" t="s">
        <v>7</v>
      </c>
      <c r="C82" s="41">
        <v>2</v>
      </c>
      <c r="G82" s="41">
        <v>90</v>
      </c>
    </row>
    <row r="83" spans="1:7" ht="15.5" x14ac:dyDescent="0.35">
      <c r="A83" s="41" t="s">
        <v>29</v>
      </c>
      <c r="B83" s="41" t="s">
        <v>7</v>
      </c>
      <c r="C83" s="41">
        <v>2</v>
      </c>
      <c r="G83" s="41">
        <v>80</v>
      </c>
    </row>
    <row r="84" spans="1:7" ht="15.5" x14ac:dyDescent="0.35">
      <c r="A84" s="41" t="s">
        <v>31</v>
      </c>
      <c r="B84" s="41" t="s">
        <v>7</v>
      </c>
      <c r="C84" s="41">
        <v>2</v>
      </c>
      <c r="G84" s="41">
        <v>100</v>
      </c>
    </row>
    <row r="85" spans="1:7" ht="15.5" x14ac:dyDescent="0.35">
      <c r="A85" s="41" t="s">
        <v>32</v>
      </c>
      <c r="B85" s="41" t="s">
        <v>7</v>
      </c>
      <c r="C85" s="41">
        <v>2</v>
      </c>
      <c r="G85" s="41">
        <v>80</v>
      </c>
    </row>
    <row r="86" spans="1:7" ht="15.5" x14ac:dyDescent="0.35">
      <c r="A86" s="41" t="s">
        <v>35</v>
      </c>
      <c r="B86" s="41" t="s">
        <v>7</v>
      </c>
      <c r="C86" s="41">
        <v>2</v>
      </c>
      <c r="G86" s="41">
        <v>86</v>
      </c>
    </row>
    <row r="87" spans="1:7" ht="15.5" x14ac:dyDescent="0.35">
      <c r="A87" s="41" t="s">
        <v>36</v>
      </c>
      <c r="B87" s="41" t="s">
        <v>7</v>
      </c>
      <c r="C87" s="41">
        <v>2</v>
      </c>
      <c r="G87" s="41">
        <v>83</v>
      </c>
    </row>
    <row r="88" spans="1:7" ht="15.5" x14ac:dyDescent="0.35">
      <c r="A88" s="41" t="s">
        <v>38</v>
      </c>
      <c r="B88" s="41" t="s">
        <v>7</v>
      </c>
      <c r="C88" s="41">
        <v>2</v>
      </c>
      <c r="G88" s="41">
        <v>75</v>
      </c>
    </row>
    <row r="89" spans="1:7" ht="15.5" x14ac:dyDescent="0.35">
      <c r="A89" s="41" t="s">
        <v>43</v>
      </c>
      <c r="B89" s="41" t="s">
        <v>7</v>
      </c>
      <c r="C89" s="41">
        <v>2</v>
      </c>
      <c r="G89" s="41">
        <v>93</v>
      </c>
    </row>
    <row r="90" spans="1:7" ht="15.5" x14ac:dyDescent="0.35">
      <c r="A90" s="41" t="s">
        <v>44</v>
      </c>
      <c r="B90" s="41" t="s">
        <v>7</v>
      </c>
      <c r="C90" s="41">
        <v>2</v>
      </c>
      <c r="G90" s="41">
        <v>100</v>
      </c>
    </row>
    <row r="91" spans="1:7" ht="15.5" x14ac:dyDescent="0.35">
      <c r="A91" s="41" t="s">
        <v>49</v>
      </c>
      <c r="B91" s="41" t="s">
        <v>7</v>
      </c>
      <c r="C91" s="41">
        <v>2</v>
      </c>
      <c r="G91" s="41">
        <v>95</v>
      </c>
    </row>
    <row r="92" spans="1:7" ht="15.5" x14ac:dyDescent="0.35">
      <c r="A92" s="41" t="s">
        <v>50</v>
      </c>
      <c r="B92" s="41" t="s">
        <v>7</v>
      </c>
      <c r="C92" s="41">
        <v>2</v>
      </c>
      <c r="G92" s="41">
        <v>86</v>
      </c>
    </row>
    <row r="93" spans="1:7" ht="15.5" x14ac:dyDescent="0.35">
      <c r="A93" s="41" t="s">
        <v>55</v>
      </c>
      <c r="B93" s="41" t="s">
        <v>7</v>
      </c>
      <c r="C93" s="41">
        <v>2</v>
      </c>
      <c r="G93" s="41">
        <v>100</v>
      </c>
    </row>
    <row r="94" spans="1:7" ht="15.5" x14ac:dyDescent="0.35">
      <c r="A94" s="41" t="s">
        <v>57</v>
      </c>
      <c r="B94" s="41" t="s">
        <v>7</v>
      </c>
      <c r="C94" s="41">
        <v>2</v>
      </c>
      <c r="G94" s="41">
        <v>90</v>
      </c>
    </row>
    <row r="95" spans="1:7" ht="15.5" x14ac:dyDescent="0.35">
      <c r="A95" s="41" t="s">
        <v>65</v>
      </c>
      <c r="B95" s="41" t="s">
        <v>7</v>
      </c>
      <c r="C95" s="41">
        <v>2</v>
      </c>
      <c r="G95" s="41">
        <v>85</v>
      </c>
    </row>
    <row r="96" spans="1:7" ht="15.5" x14ac:dyDescent="0.35">
      <c r="A96" s="41" t="s">
        <v>67</v>
      </c>
      <c r="B96" s="41" t="s">
        <v>7</v>
      </c>
      <c r="C96" s="41">
        <v>2</v>
      </c>
      <c r="G96" s="41">
        <v>90</v>
      </c>
    </row>
    <row r="97" spans="1:7" ht="15.5" x14ac:dyDescent="0.35">
      <c r="A97" s="41" t="s">
        <v>71</v>
      </c>
      <c r="B97" s="41" t="s">
        <v>7</v>
      </c>
      <c r="C97" s="41">
        <v>2</v>
      </c>
      <c r="G97" s="41">
        <v>100</v>
      </c>
    </row>
    <row r="98" spans="1:7" ht="15.5" x14ac:dyDescent="0.35">
      <c r="A98" s="41" t="s">
        <v>75</v>
      </c>
      <c r="B98" s="41" t="s">
        <v>7</v>
      </c>
      <c r="C98" s="41">
        <v>2</v>
      </c>
      <c r="G98" s="41">
        <v>90</v>
      </c>
    </row>
    <row r="99" spans="1:7" ht="15.5" x14ac:dyDescent="0.35">
      <c r="A99" s="41" t="s">
        <v>76</v>
      </c>
      <c r="B99" s="41" t="s">
        <v>7</v>
      </c>
      <c r="C99" s="41">
        <v>2</v>
      </c>
      <c r="G99" s="41">
        <v>100</v>
      </c>
    </row>
    <row r="100" spans="1:7" ht="15.5" x14ac:dyDescent="0.35">
      <c r="A100" s="41" t="s">
        <v>78</v>
      </c>
      <c r="B100" s="41" t="s">
        <v>7</v>
      </c>
      <c r="C100" s="41">
        <v>2</v>
      </c>
      <c r="G100" s="41">
        <v>80</v>
      </c>
    </row>
    <row r="101" spans="1:7" ht="15.5" x14ac:dyDescent="0.35">
      <c r="A101" s="41" t="s">
        <v>81</v>
      </c>
      <c r="B101" s="41" t="s">
        <v>7</v>
      </c>
      <c r="C101" s="41">
        <v>2</v>
      </c>
      <c r="G101" s="41">
        <v>95</v>
      </c>
    </row>
    <row r="102" spans="1:7" ht="15.5" x14ac:dyDescent="0.35">
      <c r="A102" s="41" t="s">
        <v>84</v>
      </c>
      <c r="B102" s="41" t="s">
        <v>7</v>
      </c>
      <c r="C102" s="41">
        <v>2</v>
      </c>
      <c r="G102" s="41">
        <v>85</v>
      </c>
    </row>
    <row r="103" spans="1:7" ht="15.5" x14ac:dyDescent="0.35">
      <c r="A103" s="41" t="s">
        <v>85</v>
      </c>
      <c r="B103" s="41" t="s">
        <v>7</v>
      </c>
      <c r="C103" s="41">
        <v>2</v>
      </c>
      <c r="G103" s="41">
        <v>90</v>
      </c>
    </row>
    <row r="104" spans="1:7" ht="15.5" x14ac:dyDescent="0.35">
      <c r="A104" s="41" t="s">
        <v>15</v>
      </c>
      <c r="B104" s="41" t="s">
        <v>8</v>
      </c>
      <c r="C104" s="41">
        <v>2</v>
      </c>
      <c r="G104" s="41">
        <v>100</v>
      </c>
    </row>
    <row r="105" spans="1:7" ht="15.5" x14ac:dyDescent="0.35">
      <c r="A105" s="41" t="s">
        <v>18</v>
      </c>
      <c r="B105" s="41" t="s">
        <v>8</v>
      </c>
      <c r="C105" s="41">
        <v>2</v>
      </c>
      <c r="G105" s="41">
        <v>100</v>
      </c>
    </row>
    <row r="106" spans="1:7" ht="15.5" x14ac:dyDescent="0.35">
      <c r="A106" s="41" t="s">
        <v>22</v>
      </c>
      <c r="B106" s="41" t="s">
        <v>8</v>
      </c>
      <c r="C106" s="41">
        <v>2</v>
      </c>
      <c r="G106" s="41">
        <v>100</v>
      </c>
    </row>
    <row r="107" spans="1:7" ht="15.5" x14ac:dyDescent="0.35">
      <c r="A107" s="41" t="s">
        <v>25</v>
      </c>
      <c r="B107" s="41" t="s">
        <v>8</v>
      </c>
      <c r="C107" s="41">
        <v>2</v>
      </c>
      <c r="G107" s="41">
        <v>100</v>
      </c>
    </row>
    <row r="108" spans="1:7" ht="15.5" x14ac:dyDescent="0.35">
      <c r="A108" s="41" t="s">
        <v>27</v>
      </c>
      <c r="B108" s="41" t="s">
        <v>8</v>
      </c>
      <c r="C108" s="41">
        <v>2</v>
      </c>
      <c r="G108" s="41">
        <v>100</v>
      </c>
    </row>
    <row r="109" spans="1:7" ht="15.5" x14ac:dyDescent="0.35">
      <c r="A109" s="41" t="s">
        <v>29</v>
      </c>
      <c r="B109" s="41" t="s">
        <v>8</v>
      </c>
      <c r="C109" s="41">
        <v>2</v>
      </c>
      <c r="G109" s="41">
        <v>75</v>
      </c>
    </row>
    <row r="110" spans="1:7" ht="15.5" x14ac:dyDescent="0.35">
      <c r="A110" s="41" t="s">
        <v>31</v>
      </c>
      <c r="B110" s="41" t="s">
        <v>8</v>
      </c>
      <c r="C110" s="41">
        <v>2</v>
      </c>
      <c r="G110" s="41">
        <v>90</v>
      </c>
    </row>
    <row r="111" spans="1:7" ht="15.5" x14ac:dyDescent="0.35">
      <c r="A111" s="41" t="s">
        <v>32</v>
      </c>
      <c r="B111" s="41" t="s">
        <v>8</v>
      </c>
      <c r="C111" s="41">
        <v>2</v>
      </c>
      <c r="G111" s="41">
        <v>100</v>
      </c>
    </row>
    <row r="112" spans="1:7" ht="15.5" x14ac:dyDescent="0.35">
      <c r="A112" s="41" t="s">
        <v>35</v>
      </c>
      <c r="B112" s="41" t="s">
        <v>8</v>
      </c>
      <c r="C112" s="41">
        <v>2</v>
      </c>
      <c r="G112" s="41">
        <v>90</v>
      </c>
    </row>
    <row r="113" spans="1:7" ht="15.5" x14ac:dyDescent="0.35">
      <c r="A113" s="41" t="s">
        <v>36</v>
      </c>
      <c r="B113" s="41" t="s">
        <v>8</v>
      </c>
      <c r="C113" s="41">
        <v>2</v>
      </c>
      <c r="G113" s="41">
        <v>90</v>
      </c>
    </row>
    <row r="114" spans="1:7" ht="15.5" x14ac:dyDescent="0.35">
      <c r="A114" s="41" t="s">
        <v>38</v>
      </c>
      <c r="B114" s="41" t="s">
        <v>8</v>
      </c>
      <c r="C114" s="41">
        <v>2</v>
      </c>
      <c r="G114" s="41">
        <v>90</v>
      </c>
    </row>
    <row r="115" spans="1:7" ht="15.5" x14ac:dyDescent="0.35">
      <c r="A115" s="41" t="s">
        <v>43</v>
      </c>
      <c r="B115" s="41" t="s">
        <v>8</v>
      </c>
      <c r="C115" s="41">
        <v>2</v>
      </c>
      <c r="G115" s="41">
        <v>75</v>
      </c>
    </row>
    <row r="116" spans="1:7" ht="15.5" x14ac:dyDescent="0.35">
      <c r="A116" s="41" t="s">
        <v>44</v>
      </c>
      <c r="B116" s="41" t="s">
        <v>8</v>
      </c>
      <c r="C116" s="41">
        <v>2</v>
      </c>
      <c r="G116" s="41">
        <v>100</v>
      </c>
    </row>
    <row r="117" spans="1:7" ht="15.5" x14ac:dyDescent="0.35">
      <c r="A117" s="41" t="s">
        <v>49</v>
      </c>
      <c r="B117" s="41" t="s">
        <v>8</v>
      </c>
      <c r="C117" s="41">
        <v>2</v>
      </c>
      <c r="G117" s="41">
        <v>90</v>
      </c>
    </row>
    <row r="118" spans="1:7" ht="15.5" x14ac:dyDescent="0.35">
      <c r="A118" s="41" t="s">
        <v>50</v>
      </c>
      <c r="B118" s="41" t="s">
        <v>8</v>
      </c>
      <c r="C118" s="41">
        <v>2</v>
      </c>
      <c r="G118" s="41">
        <v>90</v>
      </c>
    </row>
    <row r="119" spans="1:7" ht="15.5" x14ac:dyDescent="0.35">
      <c r="A119" s="41" t="s">
        <v>55</v>
      </c>
      <c r="B119" s="41" t="s">
        <v>8</v>
      </c>
      <c r="C119" s="41">
        <v>2</v>
      </c>
      <c r="G119" s="41">
        <v>100</v>
      </c>
    </row>
    <row r="120" spans="1:7" ht="15.5" x14ac:dyDescent="0.35">
      <c r="A120" s="41" t="s">
        <v>57</v>
      </c>
      <c r="B120" s="41" t="s">
        <v>8</v>
      </c>
      <c r="C120" s="41">
        <v>2</v>
      </c>
      <c r="G120" s="41">
        <v>100</v>
      </c>
    </row>
    <row r="121" spans="1:7" ht="15.5" x14ac:dyDescent="0.35">
      <c r="A121" s="41" t="s">
        <v>65</v>
      </c>
      <c r="B121" s="41" t="s">
        <v>8</v>
      </c>
      <c r="C121" s="41">
        <v>2</v>
      </c>
      <c r="G121" s="41">
        <v>75</v>
      </c>
    </row>
    <row r="122" spans="1:7" ht="15.5" x14ac:dyDescent="0.35">
      <c r="A122" s="41" t="s">
        <v>67</v>
      </c>
      <c r="B122" s="41" t="s">
        <v>8</v>
      </c>
      <c r="C122" s="41">
        <v>2</v>
      </c>
      <c r="G122" s="41">
        <v>90</v>
      </c>
    </row>
    <row r="123" spans="1:7" ht="15.5" x14ac:dyDescent="0.35">
      <c r="A123" s="41" t="s">
        <v>71</v>
      </c>
      <c r="B123" s="41" t="s">
        <v>8</v>
      </c>
      <c r="C123" s="41">
        <v>2</v>
      </c>
      <c r="G123" s="41">
        <v>100</v>
      </c>
    </row>
    <row r="124" spans="1:7" ht="15.5" x14ac:dyDescent="0.35">
      <c r="A124" s="41" t="s">
        <v>75</v>
      </c>
      <c r="B124" s="41" t="s">
        <v>8</v>
      </c>
      <c r="C124" s="41">
        <v>2</v>
      </c>
      <c r="G124" s="41">
        <v>100</v>
      </c>
    </row>
    <row r="125" spans="1:7" ht="15.5" x14ac:dyDescent="0.35">
      <c r="A125" s="41" t="s">
        <v>76</v>
      </c>
      <c r="B125" s="41" t="s">
        <v>8</v>
      </c>
      <c r="C125" s="41">
        <v>2</v>
      </c>
      <c r="G125" s="41">
        <v>90</v>
      </c>
    </row>
    <row r="126" spans="1:7" ht="15.5" x14ac:dyDescent="0.35">
      <c r="A126" s="41" t="s">
        <v>78</v>
      </c>
      <c r="B126" s="41" t="s">
        <v>8</v>
      </c>
      <c r="C126" s="41">
        <v>2</v>
      </c>
      <c r="G126" s="41">
        <v>100</v>
      </c>
    </row>
    <row r="127" spans="1:7" ht="15.5" x14ac:dyDescent="0.35">
      <c r="A127" s="41" t="s">
        <v>81</v>
      </c>
      <c r="B127" s="41" t="s">
        <v>8</v>
      </c>
      <c r="C127" s="41">
        <v>2</v>
      </c>
      <c r="G127" s="41">
        <v>75</v>
      </c>
    </row>
    <row r="128" spans="1:7" ht="15.5" x14ac:dyDescent="0.35">
      <c r="A128" s="41" t="s">
        <v>84</v>
      </c>
      <c r="B128" s="41" t="s">
        <v>8</v>
      </c>
      <c r="C128" s="41">
        <v>2</v>
      </c>
      <c r="G128" s="41">
        <v>100</v>
      </c>
    </row>
    <row r="129" spans="1:7" ht="15.5" x14ac:dyDescent="0.35">
      <c r="A129" s="41" t="s">
        <v>85</v>
      </c>
      <c r="B129" s="41" t="s">
        <v>8</v>
      </c>
      <c r="C129" s="41">
        <v>2</v>
      </c>
      <c r="G129" s="41">
        <v>100</v>
      </c>
    </row>
    <row r="130" spans="1:7" ht="15.5" x14ac:dyDescent="0.35">
      <c r="A130" s="41" t="s">
        <v>42</v>
      </c>
      <c r="B130" s="41" t="s">
        <v>9</v>
      </c>
      <c r="C130" s="41" t="s">
        <v>41</v>
      </c>
      <c r="D130" s="41">
        <v>58</v>
      </c>
      <c r="F130" s="41">
        <v>38</v>
      </c>
      <c r="G130" s="41">
        <v>96</v>
      </c>
    </row>
    <row r="131" spans="1:7" ht="15.5" x14ac:dyDescent="0.35">
      <c r="A131" s="41" t="s">
        <v>53</v>
      </c>
      <c r="B131" s="41" t="s">
        <v>9</v>
      </c>
      <c r="C131" s="41" t="s">
        <v>41</v>
      </c>
      <c r="D131" s="41">
        <v>49</v>
      </c>
      <c r="F131" s="41">
        <v>30</v>
      </c>
      <c r="G131" s="41">
        <v>79</v>
      </c>
    </row>
    <row r="132" spans="1:7" ht="15.5" x14ac:dyDescent="0.35">
      <c r="A132" s="41" t="s">
        <v>83</v>
      </c>
      <c r="B132" s="41" t="s">
        <v>9</v>
      </c>
      <c r="C132" s="41" t="s">
        <v>41</v>
      </c>
      <c r="D132" s="41">
        <v>54</v>
      </c>
      <c r="F132" s="41">
        <v>38</v>
      </c>
      <c r="G132" s="41">
        <v>92</v>
      </c>
    </row>
    <row r="133" spans="1:7" ht="15.5" x14ac:dyDescent="0.35">
      <c r="A133" s="41" t="s">
        <v>42</v>
      </c>
      <c r="B133" s="41" t="s">
        <v>10</v>
      </c>
      <c r="C133" s="41" t="s">
        <v>41</v>
      </c>
      <c r="E133" s="41">
        <v>92</v>
      </c>
      <c r="F133" s="41">
        <v>90</v>
      </c>
      <c r="G133" s="41">
        <v>91</v>
      </c>
    </row>
    <row r="134" spans="1:7" ht="15.5" x14ac:dyDescent="0.35">
      <c r="A134" s="41" t="s">
        <v>53</v>
      </c>
      <c r="B134" s="41" t="s">
        <v>10</v>
      </c>
      <c r="C134" s="41" t="s">
        <v>41</v>
      </c>
      <c r="E134" s="41">
        <v>88</v>
      </c>
      <c r="F134" s="41">
        <v>85</v>
      </c>
      <c r="G134" s="41">
        <v>86.5</v>
      </c>
    </row>
    <row r="135" spans="1:7" ht="15.5" x14ac:dyDescent="0.35">
      <c r="A135" s="41" t="s">
        <v>83</v>
      </c>
      <c r="B135" s="41" t="s">
        <v>10</v>
      </c>
      <c r="C135" s="41" t="s">
        <v>41</v>
      </c>
      <c r="E135" s="41">
        <v>100</v>
      </c>
      <c r="F135" s="41">
        <v>97</v>
      </c>
      <c r="G135" s="41">
        <v>98.5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G45"/>
  <sheetViews>
    <sheetView workbookViewId="0">
      <selection activeCell="H1" sqref="H1:H1048576"/>
    </sheetView>
  </sheetViews>
  <sheetFormatPr defaultColWidth="10.07421875" defaultRowHeight="15" customHeight="1" x14ac:dyDescent="0.35"/>
  <cols>
    <col min="1" max="1" width="27" customWidth="1"/>
    <col min="2" max="2" width="6.61328125" customWidth="1"/>
    <col min="3" max="3" width="17.07421875" customWidth="1"/>
    <col min="4" max="4" width="8.69140625" customWidth="1"/>
    <col min="5" max="5" width="12.4609375" customWidth="1"/>
    <col min="6" max="6" width="12" customWidth="1"/>
    <col min="7" max="7" width="7.921875" customWidth="1"/>
  </cols>
  <sheetData>
    <row r="1" spans="1:7" ht="15" customHeight="1" x14ac:dyDescent="0.35">
      <c r="A1" s="46" t="s">
        <v>289</v>
      </c>
      <c r="B1" s="46" t="s">
        <v>290</v>
      </c>
      <c r="C1" s="46" t="s">
        <v>291</v>
      </c>
      <c r="D1" s="46" t="s">
        <v>292</v>
      </c>
      <c r="E1" s="46" t="s">
        <v>293</v>
      </c>
      <c r="F1" s="46" t="s">
        <v>294</v>
      </c>
      <c r="G1" s="46" t="s">
        <v>12</v>
      </c>
    </row>
    <row r="2" spans="1:7" ht="15" customHeight="1" x14ac:dyDescent="0.35">
      <c r="A2" s="41" t="s">
        <v>89</v>
      </c>
      <c r="B2" s="41" t="s">
        <v>88</v>
      </c>
      <c r="C2" s="41" t="s">
        <v>41</v>
      </c>
    </row>
    <row r="3" spans="1:7" ht="15" customHeight="1" x14ac:dyDescent="0.35">
      <c r="A3" s="41" t="s">
        <v>90</v>
      </c>
      <c r="B3" s="41" t="s">
        <v>88</v>
      </c>
      <c r="C3" s="41">
        <v>1</v>
      </c>
      <c r="G3" s="41">
        <v>0</v>
      </c>
    </row>
    <row r="4" spans="1:7" ht="15" customHeight="1" x14ac:dyDescent="0.35">
      <c r="A4" s="41" t="s">
        <v>91</v>
      </c>
      <c r="B4" s="41" t="s">
        <v>88</v>
      </c>
      <c r="C4" s="41">
        <v>1</v>
      </c>
      <c r="E4" s="41">
        <v>85</v>
      </c>
      <c r="F4" s="41">
        <v>85</v>
      </c>
      <c r="G4" s="41">
        <v>85</v>
      </c>
    </row>
    <row r="5" spans="1:7" ht="15" customHeight="1" x14ac:dyDescent="0.35">
      <c r="A5" s="41" t="s">
        <v>92</v>
      </c>
      <c r="B5" s="41" t="s">
        <v>88</v>
      </c>
      <c r="C5" s="41">
        <v>1</v>
      </c>
      <c r="E5" s="41">
        <v>60</v>
      </c>
      <c r="F5" s="41">
        <v>60</v>
      </c>
      <c r="G5" s="41">
        <v>60</v>
      </c>
    </row>
    <row r="6" spans="1:7" ht="15" customHeight="1" x14ac:dyDescent="0.35">
      <c r="A6" s="41" t="s">
        <v>93</v>
      </c>
      <c r="B6" s="41" t="s">
        <v>88</v>
      </c>
      <c r="C6" s="41">
        <v>1</v>
      </c>
      <c r="E6" s="41">
        <v>70</v>
      </c>
      <c r="F6" s="41">
        <v>70</v>
      </c>
      <c r="G6" s="41">
        <v>70</v>
      </c>
    </row>
    <row r="7" spans="1:7" ht="15" customHeight="1" x14ac:dyDescent="0.35">
      <c r="A7" s="41" t="s">
        <v>94</v>
      </c>
      <c r="B7" s="41" t="s">
        <v>88</v>
      </c>
      <c r="C7" s="41">
        <v>1</v>
      </c>
      <c r="G7" s="41">
        <v>0</v>
      </c>
    </row>
    <row r="8" spans="1:7" ht="15" customHeight="1" x14ac:dyDescent="0.35">
      <c r="A8" s="41" t="s">
        <v>95</v>
      </c>
      <c r="B8" s="41" t="s">
        <v>88</v>
      </c>
      <c r="C8" s="41" t="s">
        <v>41</v>
      </c>
    </row>
    <row r="9" spans="1:7" ht="15" customHeight="1" x14ac:dyDescent="0.35">
      <c r="A9" s="41" t="s">
        <v>96</v>
      </c>
      <c r="B9" s="41" t="s">
        <v>88</v>
      </c>
      <c r="C9" s="41">
        <v>2</v>
      </c>
    </row>
    <row r="10" spans="1:7" ht="15" customHeight="1" x14ac:dyDescent="0.35">
      <c r="A10" s="41" t="s">
        <v>97</v>
      </c>
      <c r="B10" s="41" t="s">
        <v>88</v>
      </c>
      <c r="C10" s="41">
        <v>1</v>
      </c>
      <c r="G10" s="41">
        <v>0</v>
      </c>
    </row>
    <row r="11" spans="1:7" ht="15" customHeight="1" x14ac:dyDescent="0.35">
      <c r="A11" s="41" t="s">
        <v>98</v>
      </c>
      <c r="B11" s="41" t="s">
        <v>88</v>
      </c>
      <c r="C11" s="41" t="s">
        <v>41</v>
      </c>
    </row>
    <row r="12" spans="1:7" ht="15" customHeight="1" x14ac:dyDescent="0.35">
      <c r="A12" s="41" t="s">
        <v>99</v>
      </c>
      <c r="B12" s="41" t="s">
        <v>88</v>
      </c>
      <c r="C12" s="41">
        <v>1</v>
      </c>
      <c r="E12" s="41">
        <v>90</v>
      </c>
      <c r="F12" s="41">
        <v>90</v>
      </c>
      <c r="G12" s="41">
        <v>90</v>
      </c>
    </row>
    <row r="13" spans="1:7" ht="15" customHeight="1" x14ac:dyDescent="0.35">
      <c r="A13" s="41" t="s">
        <v>100</v>
      </c>
      <c r="B13" s="41" t="s">
        <v>88</v>
      </c>
      <c r="C13" s="41">
        <v>2</v>
      </c>
    </row>
    <row r="14" spans="1:7" ht="15" customHeight="1" x14ac:dyDescent="0.35">
      <c r="A14" s="41" t="s">
        <v>101</v>
      </c>
      <c r="B14" s="41" t="s">
        <v>88</v>
      </c>
      <c r="C14" s="41">
        <v>2</v>
      </c>
    </row>
    <row r="15" spans="1:7" ht="15" customHeight="1" x14ac:dyDescent="0.35">
      <c r="A15" s="41" t="s">
        <v>102</v>
      </c>
      <c r="B15" s="41" t="s">
        <v>88</v>
      </c>
      <c r="C15" s="41">
        <v>1</v>
      </c>
      <c r="G15" s="41">
        <v>0</v>
      </c>
    </row>
    <row r="16" spans="1:7" ht="15" customHeight="1" x14ac:dyDescent="0.35">
      <c r="A16" s="41" t="s">
        <v>103</v>
      </c>
      <c r="B16" s="41" t="s">
        <v>88</v>
      </c>
      <c r="C16" s="41">
        <v>2</v>
      </c>
    </row>
    <row r="17" spans="1:7" ht="15" customHeight="1" x14ac:dyDescent="0.35">
      <c r="A17" s="41" t="s">
        <v>104</v>
      </c>
      <c r="B17" s="41" t="s">
        <v>88</v>
      </c>
      <c r="C17" s="41">
        <v>1</v>
      </c>
      <c r="E17" s="41">
        <v>80</v>
      </c>
      <c r="F17" s="41">
        <v>80</v>
      </c>
      <c r="G17" s="41">
        <v>80</v>
      </c>
    </row>
    <row r="18" spans="1:7" ht="15" customHeight="1" x14ac:dyDescent="0.35">
      <c r="A18" s="41" t="s">
        <v>105</v>
      </c>
      <c r="B18" s="41" t="s">
        <v>88</v>
      </c>
      <c r="C18" s="41">
        <v>1</v>
      </c>
      <c r="E18" s="41">
        <v>80</v>
      </c>
      <c r="F18" s="41">
        <v>80</v>
      </c>
      <c r="G18" s="41">
        <v>80</v>
      </c>
    </row>
    <row r="19" spans="1:7" ht="15.5" x14ac:dyDescent="0.35">
      <c r="A19" s="41" t="s">
        <v>106</v>
      </c>
      <c r="B19" s="41" t="s">
        <v>88</v>
      </c>
      <c r="C19" s="41">
        <v>1</v>
      </c>
      <c r="E19" s="41">
        <v>60</v>
      </c>
      <c r="F19" s="41">
        <v>60</v>
      </c>
      <c r="G19" s="41">
        <v>60</v>
      </c>
    </row>
    <row r="20" spans="1:7" ht="15.5" x14ac:dyDescent="0.35">
      <c r="A20" s="41" t="s">
        <v>107</v>
      </c>
      <c r="B20" s="41" t="s">
        <v>88</v>
      </c>
      <c r="C20" s="41">
        <v>1</v>
      </c>
      <c r="E20" s="41">
        <v>10</v>
      </c>
      <c r="F20" s="41">
        <v>10</v>
      </c>
      <c r="G20" s="41">
        <v>10</v>
      </c>
    </row>
    <row r="21" spans="1:7" ht="15.5" x14ac:dyDescent="0.35">
      <c r="A21" s="41" t="s">
        <v>55</v>
      </c>
      <c r="B21" s="41" t="s">
        <v>88</v>
      </c>
      <c r="C21" s="41">
        <v>1</v>
      </c>
      <c r="E21" s="41">
        <v>65</v>
      </c>
      <c r="F21" s="41">
        <v>65</v>
      </c>
      <c r="G21" s="41">
        <v>65</v>
      </c>
    </row>
    <row r="22" spans="1:7" ht="15.5" x14ac:dyDescent="0.35">
      <c r="A22" s="41" t="s">
        <v>108</v>
      </c>
      <c r="B22" s="41" t="s">
        <v>88</v>
      </c>
      <c r="C22" s="41">
        <v>2</v>
      </c>
    </row>
    <row r="23" spans="1:7" ht="15.5" x14ac:dyDescent="0.35">
      <c r="A23" s="41" t="s">
        <v>109</v>
      </c>
      <c r="B23" s="41" t="s">
        <v>88</v>
      </c>
      <c r="C23" s="41" t="s">
        <v>41</v>
      </c>
    </row>
    <row r="24" spans="1:7" ht="15.5" x14ac:dyDescent="0.35">
      <c r="A24" s="41" t="s">
        <v>110</v>
      </c>
      <c r="B24" s="41" t="s">
        <v>88</v>
      </c>
      <c r="C24" s="41">
        <v>1</v>
      </c>
    </row>
    <row r="25" spans="1:7" ht="15.5" x14ac:dyDescent="0.35">
      <c r="A25" s="41" t="s">
        <v>111</v>
      </c>
      <c r="B25" s="41" t="s">
        <v>88</v>
      </c>
      <c r="C25" s="41">
        <v>2</v>
      </c>
    </row>
    <row r="26" spans="1:7" ht="15.5" x14ac:dyDescent="0.35">
      <c r="A26" s="41" t="s">
        <v>112</v>
      </c>
      <c r="B26" s="41" t="s">
        <v>88</v>
      </c>
      <c r="C26" s="41">
        <v>1</v>
      </c>
    </row>
    <row r="27" spans="1:7" ht="15.5" x14ac:dyDescent="0.35">
      <c r="A27" s="41" t="s">
        <v>113</v>
      </c>
      <c r="B27" s="41" t="s">
        <v>88</v>
      </c>
      <c r="C27" s="41">
        <v>1</v>
      </c>
      <c r="E27" s="41">
        <v>10</v>
      </c>
      <c r="F27" s="41">
        <v>10</v>
      </c>
      <c r="G27" s="41">
        <v>10</v>
      </c>
    </row>
    <row r="28" spans="1:7" ht="15.5" x14ac:dyDescent="0.35">
      <c r="A28" s="41" t="s">
        <v>114</v>
      </c>
      <c r="B28" s="41" t="s">
        <v>88</v>
      </c>
      <c r="C28" s="41" t="s">
        <v>41</v>
      </c>
    </row>
    <row r="29" spans="1:7" ht="15.5" x14ac:dyDescent="0.35">
      <c r="A29" s="41" t="s">
        <v>115</v>
      </c>
      <c r="B29" s="41" t="s">
        <v>88</v>
      </c>
      <c r="C29" s="41">
        <v>1</v>
      </c>
      <c r="G29" s="41">
        <v>0</v>
      </c>
    </row>
    <row r="30" spans="1:7" ht="15.5" x14ac:dyDescent="0.35">
      <c r="A30" s="41" t="s">
        <v>116</v>
      </c>
      <c r="B30" s="41" t="s">
        <v>88</v>
      </c>
      <c r="C30" s="41">
        <v>2</v>
      </c>
    </row>
    <row r="31" spans="1:7" ht="15.5" x14ac:dyDescent="0.35">
      <c r="A31" s="41" t="s">
        <v>117</v>
      </c>
      <c r="B31" s="41" t="s">
        <v>88</v>
      </c>
      <c r="C31" s="41">
        <v>1</v>
      </c>
      <c r="E31" s="41">
        <v>70</v>
      </c>
      <c r="F31" s="41">
        <v>70</v>
      </c>
      <c r="G31" s="41">
        <v>70</v>
      </c>
    </row>
    <row r="32" spans="1:7" ht="15.5" x14ac:dyDescent="0.35">
      <c r="A32" s="41" t="s">
        <v>118</v>
      </c>
      <c r="B32" s="41" t="s">
        <v>88</v>
      </c>
      <c r="C32" s="41">
        <v>2</v>
      </c>
    </row>
    <row r="33" spans="1:7" ht="15.5" x14ac:dyDescent="0.35">
      <c r="A33" s="41" t="s">
        <v>119</v>
      </c>
      <c r="B33" s="41" t="s">
        <v>88</v>
      </c>
      <c r="C33" s="41">
        <v>1</v>
      </c>
      <c r="E33" s="41">
        <v>70</v>
      </c>
      <c r="F33" s="41">
        <v>70</v>
      </c>
      <c r="G33" s="41">
        <v>70</v>
      </c>
    </row>
    <row r="34" spans="1:7" ht="15.5" x14ac:dyDescent="0.35">
      <c r="A34" s="41" t="s">
        <v>120</v>
      </c>
      <c r="B34" s="41" t="s">
        <v>88</v>
      </c>
      <c r="C34" s="41">
        <v>1</v>
      </c>
      <c r="E34" s="41">
        <v>70</v>
      </c>
      <c r="F34" s="41">
        <v>70</v>
      </c>
      <c r="G34" s="41">
        <v>70</v>
      </c>
    </row>
    <row r="35" spans="1:7" ht="15.5" x14ac:dyDescent="0.35">
      <c r="A35" s="41" t="s">
        <v>121</v>
      </c>
      <c r="B35" s="41" t="s">
        <v>88</v>
      </c>
      <c r="C35" s="41">
        <v>1</v>
      </c>
      <c r="G35" s="41">
        <v>0</v>
      </c>
    </row>
    <row r="36" spans="1:7" ht="15.5" x14ac:dyDescent="0.35">
      <c r="A36" s="41" t="s">
        <v>122</v>
      </c>
      <c r="B36" s="41" t="s">
        <v>88</v>
      </c>
      <c r="C36" s="41">
        <v>2</v>
      </c>
    </row>
    <row r="37" spans="1:7" ht="15.5" x14ac:dyDescent="0.35">
      <c r="A37" s="41" t="s">
        <v>123</v>
      </c>
      <c r="B37" s="41" t="s">
        <v>88</v>
      </c>
      <c r="C37" s="41">
        <v>2</v>
      </c>
    </row>
    <row r="38" spans="1:7" ht="15.5" x14ac:dyDescent="0.35">
      <c r="A38" s="41" t="s">
        <v>124</v>
      </c>
      <c r="B38" s="41" t="s">
        <v>88</v>
      </c>
      <c r="C38" s="41">
        <v>1</v>
      </c>
    </row>
    <row r="39" spans="1:7" ht="15.5" x14ac:dyDescent="0.35">
      <c r="A39" s="41" t="s">
        <v>125</v>
      </c>
      <c r="B39" s="41" t="s">
        <v>88</v>
      </c>
      <c r="C39" s="41">
        <v>1</v>
      </c>
      <c r="E39" s="41">
        <v>80</v>
      </c>
      <c r="F39" s="41">
        <v>80</v>
      </c>
      <c r="G39" s="41">
        <v>80</v>
      </c>
    </row>
    <row r="40" spans="1:7" ht="15.5" x14ac:dyDescent="0.35">
      <c r="A40" s="41" t="s">
        <v>126</v>
      </c>
      <c r="B40" s="41" t="s">
        <v>88</v>
      </c>
      <c r="C40" s="41">
        <v>1</v>
      </c>
      <c r="E40" s="41">
        <v>65</v>
      </c>
      <c r="F40" s="41">
        <v>65</v>
      </c>
      <c r="G40" s="41">
        <v>65</v>
      </c>
    </row>
    <row r="41" spans="1:7" ht="15.5" x14ac:dyDescent="0.35">
      <c r="A41" s="41" t="s">
        <v>127</v>
      </c>
      <c r="B41" s="41" t="s">
        <v>88</v>
      </c>
      <c r="C41" s="41">
        <v>1</v>
      </c>
      <c r="E41" s="41">
        <v>55</v>
      </c>
      <c r="F41" s="41">
        <v>55</v>
      </c>
      <c r="G41" s="41">
        <v>55</v>
      </c>
    </row>
    <row r="42" spans="1:7" ht="15.5" x14ac:dyDescent="0.35">
      <c r="A42" s="41" t="s">
        <v>128</v>
      </c>
      <c r="B42" s="41" t="s">
        <v>88</v>
      </c>
      <c r="C42" s="41">
        <v>2</v>
      </c>
    </row>
    <row r="43" spans="1:7" ht="15.5" x14ac:dyDescent="0.35">
      <c r="A43" s="41" t="s">
        <v>129</v>
      </c>
      <c r="B43" s="41" t="s">
        <v>88</v>
      </c>
      <c r="C43" s="41">
        <v>2</v>
      </c>
    </row>
    <row r="44" spans="1:7" ht="15.5" x14ac:dyDescent="0.35">
      <c r="A44" s="41" t="s">
        <v>130</v>
      </c>
      <c r="B44" s="41" t="s">
        <v>88</v>
      </c>
      <c r="C44" s="41">
        <v>2</v>
      </c>
    </row>
    <row r="45" spans="1:7" ht="15.5" x14ac:dyDescent="0.35">
      <c r="A45" s="41" t="s">
        <v>131</v>
      </c>
      <c r="B45" s="41" t="s">
        <v>88</v>
      </c>
      <c r="C45" s="41"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G21"/>
  <sheetViews>
    <sheetView workbookViewId="0">
      <selection activeCell="H1" sqref="H1:H1048576"/>
    </sheetView>
  </sheetViews>
  <sheetFormatPr defaultColWidth="10.07421875" defaultRowHeight="15" customHeight="1" x14ac:dyDescent="0.35"/>
  <cols>
    <col min="1" max="1" width="26.07421875" customWidth="1"/>
    <col min="2" max="2" width="19.921875" customWidth="1"/>
    <col min="3" max="3" width="17.07421875" customWidth="1"/>
    <col min="4" max="4" width="8.69140625" customWidth="1"/>
    <col min="5" max="5" width="12.4609375" customWidth="1"/>
    <col min="6" max="6" width="12" customWidth="1"/>
    <col min="7" max="7" width="7.921875" customWidth="1"/>
  </cols>
  <sheetData>
    <row r="1" spans="1:7" ht="15" customHeight="1" x14ac:dyDescent="0.35">
      <c r="A1" s="46" t="s">
        <v>289</v>
      </c>
      <c r="B1" s="46" t="s">
        <v>290</v>
      </c>
      <c r="C1" s="46" t="s">
        <v>291</v>
      </c>
      <c r="D1" s="46" t="s">
        <v>292</v>
      </c>
      <c r="E1" s="46" t="s">
        <v>293</v>
      </c>
      <c r="F1" s="46" t="s">
        <v>294</v>
      </c>
      <c r="G1" s="46" t="s">
        <v>12</v>
      </c>
    </row>
    <row r="2" spans="1:7" ht="15" customHeight="1" x14ac:dyDescent="0.35">
      <c r="A2" s="41" t="s">
        <v>138</v>
      </c>
      <c r="B2" s="41" t="s">
        <v>133</v>
      </c>
      <c r="C2" s="41">
        <v>1</v>
      </c>
      <c r="E2" s="41">
        <v>95</v>
      </c>
      <c r="F2" s="41">
        <v>95</v>
      </c>
      <c r="G2" s="41">
        <v>95</v>
      </c>
    </row>
    <row r="3" spans="1:7" ht="15" customHeight="1" x14ac:dyDescent="0.35">
      <c r="A3" s="41" t="s">
        <v>143</v>
      </c>
      <c r="B3" s="41" t="s">
        <v>133</v>
      </c>
      <c r="C3" s="41">
        <v>1</v>
      </c>
      <c r="E3" s="41">
        <v>80</v>
      </c>
      <c r="F3" s="41">
        <v>80</v>
      </c>
      <c r="G3" s="41">
        <v>80</v>
      </c>
    </row>
    <row r="4" spans="1:7" ht="15" customHeight="1" x14ac:dyDescent="0.35">
      <c r="A4" s="41" t="s">
        <v>144</v>
      </c>
      <c r="B4" s="41" t="s">
        <v>133</v>
      </c>
      <c r="C4" s="41">
        <v>1</v>
      </c>
      <c r="E4" s="41">
        <v>95</v>
      </c>
      <c r="F4" s="41">
        <v>85</v>
      </c>
      <c r="G4" s="41">
        <v>90</v>
      </c>
    </row>
    <row r="5" spans="1:7" ht="15" customHeight="1" x14ac:dyDescent="0.35">
      <c r="A5" s="41" t="s">
        <v>148</v>
      </c>
      <c r="B5" s="41" t="s">
        <v>133</v>
      </c>
      <c r="C5" s="41">
        <v>1</v>
      </c>
      <c r="E5" s="41">
        <v>90</v>
      </c>
      <c r="F5" s="41">
        <v>95</v>
      </c>
      <c r="G5" s="41">
        <v>92.5</v>
      </c>
    </row>
    <row r="6" spans="1:7" ht="15" customHeight="1" x14ac:dyDescent="0.35">
      <c r="A6" s="41" t="s">
        <v>149</v>
      </c>
      <c r="B6" s="41" t="s">
        <v>133</v>
      </c>
      <c r="C6" s="41">
        <v>1</v>
      </c>
      <c r="E6" s="41">
        <v>95</v>
      </c>
      <c r="F6" s="41">
        <v>95</v>
      </c>
      <c r="G6" s="41">
        <v>95</v>
      </c>
    </row>
    <row r="7" spans="1:7" ht="15" customHeight="1" x14ac:dyDescent="0.35">
      <c r="A7" s="41" t="s">
        <v>151</v>
      </c>
      <c r="B7" s="41" t="s">
        <v>133</v>
      </c>
      <c r="C7" s="41">
        <v>1</v>
      </c>
      <c r="E7" s="41">
        <v>85</v>
      </c>
      <c r="F7" s="41">
        <v>95</v>
      </c>
      <c r="G7" s="41">
        <v>90</v>
      </c>
    </row>
    <row r="8" spans="1:7" ht="15" customHeight="1" x14ac:dyDescent="0.35">
      <c r="A8" s="41" t="s">
        <v>152</v>
      </c>
      <c r="B8" s="41" t="s">
        <v>133</v>
      </c>
      <c r="C8" s="41">
        <v>1</v>
      </c>
      <c r="E8" s="41">
        <v>0</v>
      </c>
      <c r="F8" s="41">
        <v>0</v>
      </c>
      <c r="G8" s="41">
        <v>0</v>
      </c>
    </row>
    <row r="9" spans="1:7" ht="15" customHeight="1" x14ac:dyDescent="0.35">
      <c r="A9" s="41" t="s">
        <v>153</v>
      </c>
      <c r="B9" s="41" t="s">
        <v>133</v>
      </c>
      <c r="C9" s="41">
        <v>1</v>
      </c>
      <c r="E9" s="41">
        <v>90</v>
      </c>
      <c r="F9" s="41">
        <v>95</v>
      </c>
      <c r="G9" s="41">
        <v>92.5</v>
      </c>
    </row>
    <row r="10" spans="1:7" ht="15" customHeight="1" x14ac:dyDescent="0.35">
      <c r="A10" s="41" t="s">
        <v>136</v>
      </c>
      <c r="B10" s="41" t="s">
        <v>134</v>
      </c>
      <c r="C10" s="41">
        <v>2</v>
      </c>
      <c r="E10" s="41">
        <v>70</v>
      </c>
      <c r="F10" s="41">
        <v>75</v>
      </c>
      <c r="G10" s="41">
        <v>72.5</v>
      </c>
    </row>
    <row r="11" spans="1:7" ht="15" customHeight="1" x14ac:dyDescent="0.35">
      <c r="A11" s="41" t="s">
        <v>137</v>
      </c>
      <c r="B11" s="41" t="s">
        <v>134</v>
      </c>
      <c r="C11" s="41">
        <v>2</v>
      </c>
      <c r="E11" s="41">
        <v>0</v>
      </c>
      <c r="F11" s="41">
        <v>0</v>
      </c>
      <c r="G11" s="41">
        <v>0</v>
      </c>
    </row>
    <row r="12" spans="1:7" ht="15" customHeight="1" x14ac:dyDescent="0.35">
      <c r="A12" s="41" t="s">
        <v>139</v>
      </c>
      <c r="B12" s="41" t="s">
        <v>134</v>
      </c>
      <c r="C12" s="41">
        <v>2</v>
      </c>
      <c r="E12" s="41">
        <v>80</v>
      </c>
      <c r="F12" s="41">
        <v>80</v>
      </c>
      <c r="G12" s="41">
        <v>80</v>
      </c>
    </row>
    <row r="13" spans="1:7" ht="15" customHeight="1" x14ac:dyDescent="0.35">
      <c r="A13" s="41" t="s">
        <v>146</v>
      </c>
      <c r="B13" s="41" t="s">
        <v>134</v>
      </c>
      <c r="C13" s="41">
        <v>2</v>
      </c>
      <c r="E13" s="41">
        <v>80</v>
      </c>
      <c r="F13" s="41">
        <v>75</v>
      </c>
      <c r="G13" s="41">
        <v>77.5</v>
      </c>
    </row>
    <row r="14" spans="1:7" ht="15" customHeight="1" x14ac:dyDescent="0.35">
      <c r="A14" s="41" t="s">
        <v>147</v>
      </c>
      <c r="B14" s="41" t="s">
        <v>134</v>
      </c>
      <c r="C14" s="41">
        <v>2</v>
      </c>
      <c r="E14" s="41">
        <v>85</v>
      </c>
      <c r="F14" s="41">
        <v>90</v>
      </c>
      <c r="G14" s="41">
        <v>87.5</v>
      </c>
    </row>
    <row r="15" spans="1:7" ht="15" customHeight="1" x14ac:dyDescent="0.35">
      <c r="A15" s="41" t="s">
        <v>150</v>
      </c>
      <c r="B15" s="41" t="s">
        <v>134</v>
      </c>
      <c r="C15" s="41">
        <v>2</v>
      </c>
      <c r="E15" s="41">
        <v>80</v>
      </c>
      <c r="F15" s="41">
        <v>80</v>
      </c>
      <c r="G15" s="41">
        <v>80</v>
      </c>
    </row>
    <row r="16" spans="1:7" ht="15" customHeight="1" x14ac:dyDescent="0.35">
      <c r="A16" s="41" t="s">
        <v>140</v>
      </c>
      <c r="B16" s="41" t="s">
        <v>9</v>
      </c>
      <c r="C16" s="41" t="s">
        <v>41</v>
      </c>
      <c r="D16" s="41">
        <v>46</v>
      </c>
      <c r="F16" s="41">
        <v>24</v>
      </c>
      <c r="G16" s="41">
        <v>70</v>
      </c>
    </row>
    <row r="17" spans="1:7" ht="15" customHeight="1" x14ac:dyDescent="0.35">
      <c r="A17" s="41" t="s">
        <v>142</v>
      </c>
      <c r="B17" s="41" t="s">
        <v>9</v>
      </c>
      <c r="C17" s="41" t="s">
        <v>41</v>
      </c>
      <c r="D17" s="41">
        <v>60</v>
      </c>
      <c r="F17" s="41">
        <v>35</v>
      </c>
      <c r="G17" s="41">
        <v>95</v>
      </c>
    </row>
    <row r="18" spans="1:7" ht="15" customHeight="1" x14ac:dyDescent="0.35">
      <c r="A18" s="41" t="s">
        <v>145</v>
      </c>
      <c r="B18" s="41" t="s">
        <v>9</v>
      </c>
      <c r="C18" s="41" t="s">
        <v>41</v>
      </c>
      <c r="D18" s="41">
        <v>44</v>
      </c>
      <c r="F18" s="41">
        <v>29</v>
      </c>
      <c r="G18" s="41">
        <v>73</v>
      </c>
    </row>
    <row r="19" spans="1:7" ht="15.5" x14ac:dyDescent="0.35">
      <c r="A19" s="41" t="s">
        <v>140</v>
      </c>
      <c r="B19" s="41" t="s">
        <v>135</v>
      </c>
      <c r="C19" s="41" t="s">
        <v>41</v>
      </c>
      <c r="E19" s="41">
        <v>60</v>
      </c>
      <c r="G19" s="41">
        <v>60</v>
      </c>
    </row>
    <row r="20" spans="1:7" ht="15.5" x14ac:dyDescent="0.35">
      <c r="A20" s="41" t="s">
        <v>142</v>
      </c>
      <c r="B20" s="41" t="s">
        <v>135</v>
      </c>
      <c r="C20" s="41" t="s">
        <v>41</v>
      </c>
      <c r="E20" s="41">
        <v>90</v>
      </c>
      <c r="G20" s="41">
        <v>90</v>
      </c>
    </row>
    <row r="21" spans="1:7" ht="15.5" x14ac:dyDescent="0.35">
      <c r="A21" s="41" t="s">
        <v>145</v>
      </c>
      <c r="B21" s="41" t="s">
        <v>135</v>
      </c>
      <c r="C21" s="41" t="s">
        <v>41</v>
      </c>
      <c r="E21" s="41">
        <v>80</v>
      </c>
      <c r="G21" s="41">
        <v>80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G3"/>
  <sheetViews>
    <sheetView workbookViewId="0">
      <selection activeCell="H1" sqref="H1:H1048576"/>
    </sheetView>
  </sheetViews>
  <sheetFormatPr defaultColWidth="10.07421875" defaultRowHeight="15" customHeight="1" x14ac:dyDescent="0.35"/>
  <cols>
    <col min="1" max="1" width="24.07421875" customWidth="1"/>
    <col min="2" max="2" width="11.69140625" customWidth="1"/>
    <col min="3" max="3" width="17.07421875" customWidth="1"/>
    <col min="4" max="4" width="8.69140625" customWidth="1"/>
    <col min="5" max="5" width="12.4609375" customWidth="1"/>
    <col min="6" max="6" width="12" customWidth="1"/>
    <col min="7" max="7" width="7.921875" customWidth="1"/>
  </cols>
  <sheetData>
    <row r="1" spans="1:7" ht="15" customHeight="1" x14ac:dyDescent="0.35">
      <c r="A1" s="46" t="s">
        <v>289</v>
      </c>
      <c r="B1" s="46" t="s">
        <v>290</v>
      </c>
      <c r="C1" s="46" t="s">
        <v>291</v>
      </c>
      <c r="D1" s="46" t="s">
        <v>292</v>
      </c>
      <c r="E1" s="46" t="s">
        <v>293</v>
      </c>
      <c r="F1" s="46" t="s">
        <v>294</v>
      </c>
      <c r="G1" s="46" t="s">
        <v>12</v>
      </c>
    </row>
    <row r="2" spans="1:7" ht="15" customHeight="1" x14ac:dyDescent="0.35">
      <c r="A2" s="41" t="s">
        <v>185</v>
      </c>
      <c r="B2" s="41" t="s">
        <v>184</v>
      </c>
      <c r="C2" s="41">
        <v>2</v>
      </c>
      <c r="G2" s="41">
        <v>95</v>
      </c>
    </row>
    <row r="3" spans="1:7" ht="15" customHeight="1" x14ac:dyDescent="0.35">
      <c r="A3" s="41" t="s">
        <v>186</v>
      </c>
      <c r="B3" s="41" t="s">
        <v>184</v>
      </c>
      <c r="C3" s="41">
        <v>2</v>
      </c>
      <c r="G3" s="41">
        <v>90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G5"/>
  <sheetViews>
    <sheetView workbookViewId="0">
      <selection activeCell="H1" sqref="H1:H1048576"/>
    </sheetView>
  </sheetViews>
  <sheetFormatPr defaultColWidth="10.07421875" defaultRowHeight="15" customHeight="1" x14ac:dyDescent="0.35"/>
  <cols>
    <col min="1" max="1" width="22.61328125" customWidth="1"/>
    <col min="2" max="2" width="13.3828125" customWidth="1"/>
    <col min="3" max="3" width="17.07421875" customWidth="1"/>
    <col min="4" max="4" width="8.69140625" customWidth="1"/>
    <col min="5" max="5" width="12.4609375" customWidth="1"/>
    <col min="6" max="6" width="12" customWidth="1"/>
    <col min="7" max="7" width="7.921875" customWidth="1"/>
  </cols>
  <sheetData>
    <row r="1" spans="1:7" ht="15" customHeight="1" x14ac:dyDescent="0.35">
      <c r="A1" s="46" t="s">
        <v>289</v>
      </c>
      <c r="B1" s="46" t="s">
        <v>290</v>
      </c>
      <c r="C1" s="46" t="s">
        <v>291</v>
      </c>
      <c r="D1" s="46" t="s">
        <v>292</v>
      </c>
      <c r="E1" s="46" t="s">
        <v>293</v>
      </c>
      <c r="F1" s="46" t="s">
        <v>294</v>
      </c>
      <c r="G1" s="46" t="s">
        <v>12</v>
      </c>
    </row>
    <row r="2" spans="1:7" ht="15" customHeight="1" x14ac:dyDescent="0.35">
      <c r="A2" s="41" t="s">
        <v>193</v>
      </c>
      <c r="B2" s="41" t="s">
        <v>189</v>
      </c>
      <c r="C2" s="41">
        <v>1</v>
      </c>
      <c r="G2" s="41">
        <v>95</v>
      </c>
    </row>
    <row r="3" spans="1:7" ht="15" customHeight="1" x14ac:dyDescent="0.35">
      <c r="A3" s="41" t="s">
        <v>191</v>
      </c>
      <c r="B3" s="41" t="s">
        <v>190</v>
      </c>
      <c r="C3" s="41">
        <v>2</v>
      </c>
      <c r="G3" s="41">
        <v>90</v>
      </c>
    </row>
    <row r="4" spans="1:7" ht="15" customHeight="1" x14ac:dyDescent="0.35">
      <c r="A4" s="41" t="s">
        <v>192</v>
      </c>
      <c r="B4" s="41" t="s">
        <v>190</v>
      </c>
      <c r="C4" s="41">
        <v>2</v>
      </c>
      <c r="G4" s="41">
        <v>90</v>
      </c>
    </row>
    <row r="5" spans="1:7" ht="15" customHeight="1" x14ac:dyDescent="0.35">
      <c r="A5" s="41" t="s">
        <v>194</v>
      </c>
      <c r="B5" s="41" t="s">
        <v>190</v>
      </c>
      <c r="C5" s="41">
        <v>2</v>
      </c>
      <c r="G5" s="41">
        <v>63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G23"/>
  <sheetViews>
    <sheetView workbookViewId="0">
      <selection activeCell="H1" sqref="H1:H1048576"/>
    </sheetView>
  </sheetViews>
  <sheetFormatPr defaultColWidth="10.07421875" defaultRowHeight="15" customHeight="1" x14ac:dyDescent="0.35"/>
  <cols>
    <col min="1" max="1" width="24.3828125" customWidth="1"/>
    <col min="2" max="2" width="17.69140625" customWidth="1"/>
    <col min="3" max="3" width="17.07421875" customWidth="1"/>
    <col min="4" max="4" width="8.69140625" customWidth="1"/>
    <col min="5" max="5" width="12.4609375" customWidth="1"/>
    <col min="6" max="6" width="12" customWidth="1"/>
    <col min="7" max="7" width="7.921875" customWidth="1"/>
  </cols>
  <sheetData>
    <row r="1" spans="1:7" ht="15" customHeight="1" x14ac:dyDescent="0.35">
      <c r="A1" s="46" t="s">
        <v>289</v>
      </c>
      <c r="B1" s="46" t="s">
        <v>290</v>
      </c>
      <c r="C1" s="46" t="s">
        <v>291</v>
      </c>
      <c r="D1" s="46" t="s">
        <v>292</v>
      </c>
      <c r="E1" s="46" t="s">
        <v>293</v>
      </c>
      <c r="F1" s="46" t="s">
        <v>294</v>
      </c>
      <c r="G1" s="46" t="s">
        <v>12</v>
      </c>
    </row>
    <row r="2" spans="1:7" ht="15" customHeight="1" x14ac:dyDescent="0.35">
      <c r="A2" s="41" t="s">
        <v>200</v>
      </c>
      <c r="B2" s="41" t="s">
        <v>196</v>
      </c>
      <c r="C2" s="41">
        <v>2</v>
      </c>
      <c r="E2" s="41">
        <v>46</v>
      </c>
      <c r="F2" s="41">
        <v>42</v>
      </c>
      <c r="G2" s="41">
        <v>88</v>
      </c>
    </row>
    <row r="3" spans="1:7" ht="15" customHeight="1" x14ac:dyDescent="0.35">
      <c r="A3" s="41" t="s">
        <v>201</v>
      </c>
      <c r="B3" s="41" t="s">
        <v>196</v>
      </c>
      <c r="C3" s="41" t="s">
        <v>41</v>
      </c>
      <c r="E3" s="41">
        <v>35</v>
      </c>
      <c r="F3" s="41">
        <v>30</v>
      </c>
      <c r="G3" s="41">
        <v>65</v>
      </c>
    </row>
    <row r="4" spans="1:7" ht="15" customHeight="1" x14ac:dyDescent="0.35">
      <c r="A4" s="41" t="s">
        <v>202</v>
      </c>
      <c r="B4" s="41" t="s">
        <v>196</v>
      </c>
      <c r="C4" s="41" t="s">
        <v>41</v>
      </c>
      <c r="E4" s="41">
        <v>38</v>
      </c>
      <c r="F4" s="41">
        <v>32</v>
      </c>
      <c r="G4" s="41">
        <v>70</v>
      </c>
    </row>
    <row r="5" spans="1:7" ht="15" customHeight="1" x14ac:dyDescent="0.35">
      <c r="A5" s="41" t="s">
        <v>203</v>
      </c>
      <c r="B5" s="41" t="s">
        <v>196</v>
      </c>
      <c r="C5" s="41">
        <v>1</v>
      </c>
      <c r="E5" s="41">
        <v>36</v>
      </c>
      <c r="F5" s="41">
        <v>37</v>
      </c>
      <c r="G5" s="41">
        <v>73</v>
      </c>
    </row>
    <row r="6" spans="1:7" ht="15" customHeight="1" x14ac:dyDescent="0.35">
      <c r="A6" s="41" t="s">
        <v>204</v>
      </c>
      <c r="B6" s="41" t="s">
        <v>196</v>
      </c>
      <c r="C6" s="41">
        <v>1</v>
      </c>
      <c r="E6" s="41">
        <v>37</v>
      </c>
      <c r="F6" s="41">
        <v>36</v>
      </c>
      <c r="G6" s="41">
        <v>73</v>
      </c>
    </row>
    <row r="7" spans="1:7" ht="15" customHeight="1" x14ac:dyDescent="0.35">
      <c r="A7" s="41" t="s">
        <v>205</v>
      </c>
      <c r="B7" s="41" t="s">
        <v>196</v>
      </c>
      <c r="C7" s="41">
        <v>1</v>
      </c>
      <c r="E7" s="41">
        <v>41</v>
      </c>
      <c r="F7" s="41">
        <v>44</v>
      </c>
      <c r="G7" s="41">
        <v>85</v>
      </c>
    </row>
    <row r="8" spans="1:7" ht="15" customHeight="1" x14ac:dyDescent="0.35">
      <c r="A8" s="41" t="s">
        <v>206</v>
      </c>
      <c r="B8" s="41" t="s">
        <v>196</v>
      </c>
      <c r="C8" s="41">
        <v>1</v>
      </c>
      <c r="E8" s="41">
        <v>36</v>
      </c>
      <c r="F8" s="41">
        <v>45</v>
      </c>
      <c r="G8" s="41">
        <v>81</v>
      </c>
    </row>
    <row r="9" spans="1:7" ht="15" customHeight="1" x14ac:dyDescent="0.35">
      <c r="A9" s="41" t="s">
        <v>207</v>
      </c>
      <c r="B9" s="41" t="s">
        <v>196</v>
      </c>
      <c r="C9" s="41">
        <v>1</v>
      </c>
      <c r="E9" s="41">
        <v>33</v>
      </c>
      <c r="F9" s="41">
        <v>37</v>
      </c>
      <c r="G9" s="41">
        <v>70</v>
      </c>
    </row>
    <row r="10" spans="1:7" ht="15" customHeight="1" x14ac:dyDescent="0.35">
      <c r="A10" s="41" t="s">
        <v>208</v>
      </c>
      <c r="B10" s="41" t="s">
        <v>196</v>
      </c>
      <c r="C10" s="41" t="s">
        <v>41</v>
      </c>
      <c r="E10" s="41">
        <v>37</v>
      </c>
      <c r="F10" s="41">
        <v>37</v>
      </c>
      <c r="G10" s="41">
        <v>74</v>
      </c>
    </row>
    <row r="11" spans="1:7" ht="15" customHeight="1" x14ac:dyDescent="0.35">
      <c r="A11" s="41" t="s">
        <v>209</v>
      </c>
      <c r="B11" s="41" t="s">
        <v>196</v>
      </c>
      <c r="C11" s="41" t="s">
        <v>41</v>
      </c>
      <c r="E11" s="41">
        <v>36</v>
      </c>
      <c r="F11" s="41">
        <v>30</v>
      </c>
      <c r="G11" s="41">
        <v>66</v>
      </c>
    </row>
    <row r="12" spans="1:7" ht="15" customHeight="1" x14ac:dyDescent="0.35">
      <c r="A12" s="41" t="s">
        <v>210</v>
      </c>
      <c r="B12" s="41" t="s">
        <v>196</v>
      </c>
      <c r="C12" s="41">
        <v>1</v>
      </c>
      <c r="E12" s="41">
        <v>43</v>
      </c>
      <c r="F12" s="41">
        <v>44</v>
      </c>
      <c r="G12" s="41">
        <v>87</v>
      </c>
    </row>
    <row r="13" spans="1:7" ht="15" customHeight="1" x14ac:dyDescent="0.35">
      <c r="A13" s="41" t="s">
        <v>203</v>
      </c>
      <c r="B13" s="41" t="s">
        <v>197</v>
      </c>
      <c r="C13" s="41">
        <v>1</v>
      </c>
      <c r="E13" s="41">
        <v>91</v>
      </c>
      <c r="G13" s="41">
        <v>91</v>
      </c>
    </row>
    <row r="14" spans="1:7" ht="15" customHeight="1" x14ac:dyDescent="0.35">
      <c r="A14" s="41" t="s">
        <v>204</v>
      </c>
      <c r="B14" s="41" t="s">
        <v>197</v>
      </c>
      <c r="C14" s="41">
        <v>1</v>
      </c>
      <c r="E14" s="41">
        <v>91</v>
      </c>
      <c r="G14" s="41">
        <v>91</v>
      </c>
    </row>
    <row r="15" spans="1:7" ht="15" customHeight="1" x14ac:dyDescent="0.35">
      <c r="A15" s="41" t="s">
        <v>205</v>
      </c>
      <c r="B15" s="41" t="s">
        <v>197</v>
      </c>
      <c r="C15" s="41">
        <v>1</v>
      </c>
      <c r="E15" s="41">
        <v>67</v>
      </c>
      <c r="G15" s="41">
        <v>67</v>
      </c>
    </row>
    <row r="16" spans="1:7" ht="15" customHeight="1" x14ac:dyDescent="0.35">
      <c r="A16" s="41" t="s">
        <v>206</v>
      </c>
      <c r="B16" s="41" t="s">
        <v>197</v>
      </c>
      <c r="C16" s="41">
        <v>1</v>
      </c>
      <c r="E16" s="41">
        <v>91</v>
      </c>
      <c r="G16" s="41">
        <v>91</v>
      </c>
    </row>
    <row r="17" spans="1:7" ht="15" customHeight="1" x14ac:dyDescent="0.35">
      <c r="A17" s="41" t="s">
        <v>207</v>
      </c>
      <c r="B17" s="41" t="s">
        <v>197</v>
      </c>
      <c r="C17" s="41">
        <v>1</v>
      </c>
      <c r="E17" s="41">
        <v>65</v>
      </c>
      <c r="G17" s="41">
        <v>65</v>
      </c>
    </row>
    <row r="18" spans="1:7" ht="15" customHeight="1" x14ac:dyDescent="0.35">
      <c r="A18" s="41" t="s">
        <v>210</v>
      </c>
      <c r="B18" s="41" t="s">
        <v>197</v>
      </c>
      <c r="C18" s="41">
        <v>1</v>
      </c>
      <c r="E18" s="41">
        <v>87</v>
      </c>
      <c r="G18" s="41">
        <v>87</v>
      </c>
    </row>
    <row r="19" spans="1:7" ht="15.5" x14ac:dyDescent="0.35">
      <c r="A19" s="41" t="s">
        <v>200</v>
      </c>
      <c r="B19" s="41" t="s">
        <v>198</v>
      </c>
      <c r="C19" s="41">
        <v>2</v>
      </c>
      <c r="E19" s="41">
        <v>42</v>
      </c>
      <c r="F19" s="41">
        <v>49</v>
      </c>
      <c r="G19" s="41">
        <v>91</v>
      </c>
    </row>
    <row r="20" spans="1:7" ht="15.5" x14ac:dyDescent="0.35">
      <c r="A20" s="41" t="s">
        <v>201</v>
      </c>
      <c r="B20" s="41" t="s">
        <v>199</v>
      </c>
      <c r="C20" s="41" t="s">
        <v>41</v>
      </c>
      <c r="E20" s="41">
        <v>42</v>
      </c>
      <c r="F20" s="41">
        <v>49</v>
      </c>
      <c r="G20" s="41">
        <v>91</v>
      </c>
    </row>
    <row r="21" spans="1:7" ht="15.5" x14ac:dyDescent="0.35">
      <c r="A21" s="41" t="s">
        <v>202</v>
      </c>
      <c r="B21" s="41" t="s">
        <v>199</v>
      </c>
      <c r="C21" s="41" t="s">
        <v>41</v>
      </c>
      <c r="E21" s="41">
        <v>45</v>
      </c>
      <c r="F21" s="41">
        <v>50</v>
      </c>
      <c r="G21" s="41">
        <v>95</v>
      </c>
    </row>
    <row r="22" spans="1:7" ht="15.5" x14ac:dyDescent="0.35">
      <c r="A22" s="41" t="s">
        <v>208</v>
      </c>
      <c r="B22" s="41" t="s">
        <v>199</v>
      </c>
      <c r="C22" s="41" t="s">
        <v>41</v>
      </c>
      <c r="E22" s="41">
        <v>43</v>
      </c>
      <c r="F22" s="41">
        <v>50</v>
      </c>
      <c r="G22" s="41">
        <v>93</v>
      </c>
    </row>
    <row r="23" spans="1:7" ht="15.5" x14ac:dyDescent="0.35">
      <c r="A23" s="41" t="s">
        <v>209</v>
      </c>
      <c r="B23" s="41" t="s">
        <v>199</v>
      </c>
      <c r="C23" s="41" t="s">
        <v>41</v>
      </c>
      <c r="E23" s="41">
        <v>35</v>
      </c>
      <c r="F23" s="41">
        <v>45</v>
      </c>
      <c r="G23" s="41">
        <v>80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G71"/>
  <sheetViews>
    <sheetView workbookViewId="0">
      <selection activeCell="H1" sqref="H1:H1048576"/>
    </sheetView>
  </sheetViews>
  <sheetFormatPr defaultColWidth="10.07421875" defaultRowHeight="15" customHeight="1" x14ac:dyDescent="0.35"/>
  <cols>
    <col min="1" max="1" width="26.07421875" customWidth="1"/>
    <col min="2" max="2" width="8.4609375" customWidth="1"/>
    <col min="3" max="3" width="17.07421875" customWidth="1"/>
    <col min="4" max="4" width="8.69140625" customWidth="1"/>
    <col min="5" max="5" width="12.4609375" customWidth="1"/>
    <col min="6" max="6" width="12" customWidth="1"/>
    <col min="7" max="7" width="7.921875" customWidth="1"/>
  </cols>
  <sheetData>
    <row r="1" spans="1:7" ht="15" customHeight="1" x14ac:dyDescent="0.35">
      <c r="A1" s="46" t="s">
        <v>289</v>
      </c>
      <c r="B1" s="46" t="s">
        <v>290</v>
      </c>
      <c r="C1" s="46" t="s">
        <v>291</v>
      </c>
      <c r="D1" s="46" t="s">
        <v>292</v>
      </c>
      <c r="E1" s="46" t="s">
        <v>293</v>
      </c>
      <c r="F1" s="46" t="s">
        <v>294</v>
      </c>
      <c r="G1" s="46" t="s">
        <v>12</v>
      </c>
    </row>
    <row r="2" spans="1:7" ht="15" customHeight="1" x14ac:dyDescent="0.35">
      <c r="A2" s="41" t="s">
        <v>13</v>
      </c>
      <c r="B2" s="41" t="s">
        <v>211</v>
      </c>
      <c r="G2" s="41">
        <v>54</v>
      </c>
    </row>
    <row r="3" spans="1:7" ht="15" customHeight="1" x14ac:dyDescent="0.35">
      <c r="A3" s="41" t="s">
        <v>16</v>
      </c>
      <c r="B3" s="41" t="s">
        <v>211</v>
      </c>
      <c r="G3" s="41">
        <v>90</v>
      </c>
    </row>
    <row r="4" spans="1:7" ht="15" customHeight="1" x14ac:dyDescent="0.35">
      <c r="A4" s="41" t="s">
        <v>191</v>
      </c>
      <c r="B4" s="41" t="s">
        <v>211</v>
      </c>
      <c r="G4" s="41">
        <v>91</v>
      </c>
    </row>
    <row r="5" spans="1:7" ht="15" customHeight="1" x14ac:dyDescent="0.35">
      <c r="A5" s="41" t="s">
        <v>212</v>
      </c>
      <c r="B5" s="41" t="s">
        <v>211</v>
      </c>
      <c r="G5" s="41">
        <v>73</v>
      </c>
    </row>
    <row r="6" spans="1:7" ht="15" customHeight="1" x14ac:dyDescent="0.35">
      <c r="A6" s="41" t="s">
        <v>20</v>
      </c>
      <c r="B6" s="41" t="s">
        <v>211</v>
      </c>
      <c r="G6" s="41">
        <v>95</v>
      </c>
    </row>
    <row r="7" spans="1:7" ht="15" customHeight="1" x14ac:dyDescent="0.35">
      <c r="A7" s="41" t="s">
        <v>21</v>
      </c>
      <c r="B7" s="41" t="s">
        <v>211</v>
      </c>
    </row>
    <row r="8" spans="1:7" ht="15" customHeight="1" x14ac:dyDescent="0.35">
      <c r="A8" s="41" t="s">
        <v>213</v>
      </c>
      <c r="B8" s="41" t="s">
        <v>211</v>
      </c>
      <c r="G8" s="41">
        <v>42</v>
      </c>
    </row>
    <row r="9" spans="1:7" ht="15" customHeight="1" x14ac:dyDescent="0.35">
      <c r="A9" s="41" t="s">
        <v>214</v>
      </c>
      <c r="B9" s="41" t="s">
        <v>211</v>
      </c>
    </row>
    <row r="10" spans="1:7" ht="15" customHeight="1" x14ac:dyDescent="0.35">
      <c r="A10" s="41" t="s">
        <v>23</v>
      </c>
      <c r="B10" s="41" t="s">
        <v>211</v>
      </c>
      <c r="G10" s="41">
        <v>0</v>
      </c>
    </row>
    <row r="11" spans="1:7" ht="15" customHeight="1" x14ac:dyDescent="0.35">
      <c r="A11" s="41" t="s">
        <v>24</v>
      </c>
      <c r="B11" s="41" t="s">
        <v>211</v>
      </c>
      <c r="G11" s="41">
        <v>97</v>
      </c>
    </row>
    <row r="12" spans="1:7" ht="15" customHeight="1" x14ac:dyDescent="0.35">
      <c r="A12" s="41" t="s">
        <v>28</v>
      </c>
      <c r="B12" s="41" t="s">
        <v>211</v>
      </c>
      <c r="G12" s="41">
        <v>80</v>
      </c>
    </row>
    <row r="13" spans="1:7" ht="15" customHeight="1" x14ac:dyDescent="0.35">
      <c r="A13" s="41" t="s">
        <v>215</v>
      </c>
      <c r="B13" s="41" t="s">
        <v>211</v>
      </c>
    </row>
    <row r="14" spans="1:7" ht="15" customHeight="1" x14ac:dyDescent="0.35">
      <c r="A14" s="41" t="s">
        <v>30</v>
      </c>
      <c r="B14" s="41" t="s">
        <v>211</v>
      </c>
    </row>
    <row r="15" spans="1:7" ht="15" customHeight="1" x14ac:dyDescent="0.35">
      <c r="A15" s="41" t="s">
        <v>32</v>
      </c>
      <c r="B15" s="41" t="s">
        <v>211</v>
      </c>
    </row>
    <row r="16" spans="1:7" ht="15" customHeight="1" x14ac:dyDescent="0.35">
      <c r="A16" s="41" t="s">
        <v>33</v>
      </c>
      <c r="B16" s="41" t="s">
        <v>211</v>
      </c>
      <c r="G16" s="41">
        <v>78</v>
      </c>
    </row>
    <row r="17" spans="1:7" ht="15" customHeight="1" x14ac:dyDescent="0.35">
      <c r="A17" s="41" t="s">
        <v>34</v>
      </c>
      <c r="B17" s="41" t="s">
        <v>211</v>
      </c>
      <c r="G17" s="41">
        <v>87</v>
      </c>
    </row>
    <row r="18" spans="1:7" ht="15" customHeight="1" x14ac:dyDescent="0.35">
      <c r="A18" s="41" t="s">
        <v>94</v>
      </c>
      <c r="B18" s="41" t="s">
        <v>211</v>
      </c>
    </row>
    <row r="19" spans="1:7" ht="15.5" x14ac:dyDescent="0.35">
      <c r="A19" s="41" t="s">
        <v>139</v>
      </c>
      <c r="B19" s="41" t="s">
        <v>211</v>
      </c>
      <c r="G19" s="41">
        <v>0</v>
      </c>
    </row>
    <row r="20" spans="1:7" ht="15.5" x14ac:dyDescent="0.35">
      <c r="A20" s="41" t="s">
        <v>158</v>
      </c>
      <c r="B20" s="41" t="s">
        <v>211</v>
      </c>
      <c r="G20" s="41">
        <v>0</v>
      </c>
    </row>
    <row r="21" spans="1:7" ht="15.5" x14ac:dyDescent="0.35">
      <c r="A21" s="41" t="s">
        <v>35</v>
      </c>
      <c r="B21" s="41" t="s">
        <v>211</v>
      </c>
      <c r="G21" s="41">
        <v>0</v>
      </c>
    </row>
    <row r="22" spans="1:7" ht="15.5" x14ac:dyDescent="0.35">
      <c r="A22" s="41" t="s">
        <v>159</v>
      </c>
      <c r="B22" s="41" t="s">
        <v>211</v>
      </c>
      <c r="G22" s="41">
        <v>89.5</v>
      </c>
    </row>
    <row r="23" spans="1:7" ht="15.5" x14ac:dyDescent="0.35">
      <c r="A23" s="41" t="s">
        <v>141</v>
      </c>
      <c r="B23" s="41" t="s">
        <v>211</v>
      </c>
    </row>
    <row r="24" spans="1:7" ht="15.5" x14ac:dyDescent="0.35">
      <c r="A24" s="41" t="s">
        <v>37</v>
      </c>
      <c r="B24" s="41" t="s">
        <v>211</v>
      </c>
      <c r="G24" s="41">
        <v>0</v>
      </c>
    </row>
    <row r="25" spans="1:7" ht="15.5" x14ac:dyDescent="0.35">
      <c r="A25" s="41" t="s">
        <v>101</v>
      </c>
      <c r="B25" s="41" t="s">
        <v>211</v>
      </c>
      <c r="G25" s="41">
        <v>94</v>
      </c>
    </row>
    <row r="26" spans="1:7" ht="15.5" x14ac:dyDescent="0.35">
      <c r="A26" s="41" t="s">
        <v>216</v>
      </c>
      <c r="B26" s="41" t="s">
        <v>211</v>
      </c>
      <c r="G26" s="41">
        <v>96</v>
      </c>
    </row>
    <row r="27" spans="1:7" ht="15.5" x14ac:dyDescent="0.35">
      <c r="A27" s="41" t="s">
        <v>143</v>
      </c>
      <c r="B27" s="41" t="s">
        <v>211</v>
      </c>
    </row>
    <row r="28" spans="1:7" ht="15.5" x14ac:dyDescent="0.35">
      <c r="A28" s="41" t="s">
        <v>217</v>
      </c>
      <c r="B28" s="41" t="s">
        <v>211</v>
      </c>
    </row>
    <row r="29" spans="1:7" ht="15.5" x14ac:dyDescent="0.35">
      <c r="A29" s="41" t="s">
        <v>204</v>
      </c>
      <c r="B29" s="41" t="s">
        <v>211</v>
      </c>
      <c r="G29" s="41">
        <v>88</v>
      </c>
    </row>
    <row r="30" spans="1:7" ht="15.5" x14ac:dyDescent="0.35">
      <c r="A30" s="41" t="s">
        <v>218</v>
      </c>
      <c r="B30" s="41" t="s">
        <v>211</v>
      </c>
      <c r="G30" s="41">
        <v>78</v>
      </c>
    </row>
    <row r="31" spans="1:7" ht="15.5" x14ac:dyDescent="0.35">
      <c r="A31" s="41" t="s">
        <v>47</v>
      </c>
      <c r="B31" s="41" t="s">
        <v>211</v>
      </c>
      <c r="G31" s="41">
        <v>85</v>
      </c>
    </row>
    <row r="32" spans="1:7" ht="15.5" x14ac:dyDescent="0.35">
      <c r="A32" s="41" t="s">
        <v>164</v>
      </c>
      <c r="B32" s="41" t="s">
        <v>211</v>
      </c>
      <c r="G32" s="41">
        <v>90</v>
      </c>
    </row>
    <row r="33" spans="1:7" ht="15.5" x14ac:dyDescent="0.35">
      <c r="A33" s="41" t="s">
        <v>51</v>
      </c>
      <c r="B33" s="41" t="s">
        <v>211</v>
      </c>
    </row>
    <row r="34" spans="1:7" ht="15.5" x14ac:dyDescent="0.35">
      <c r="A34" s="41" t="s">
        <v>52</v>
      </c>
      <c r="B34" s="41" t="s">
        <v>211</v>
      </c>
      <c r="G34" s="41">
        <v>90.5</v>
      </c>
    </row>
    <row r="35" spans="1:7" ht="15.5" x14ac:dyDescent="0.35">
      <c r="A35" s="41" t="s">
        <v>205</v>
      </c>
      <c r="B35" s="41" t="s">
        <v>211</v>
      </c>
      <c r="G35" s="41">
        <v>90</v>
      </c>
    </row>
    <row r="36" spans="1:7" ht="15.5" x14ac:dyDescent="0.35">
      <c r="A36" s="41" t="s">
        <v>54</v>
      </c>
      <c r="B36" s="41" t="s">
        <v>211</v>
      </c>
      <c r="G36" s="41">
        <v>88</v>
      </c>
    </row>
    <row r="37" spans="1:7" ht="15.5" x14ac:dyDescent="0.35">
      <c r="A37" s="41" t="s">
        <v>56</v>
      </c>
      <c r="B37" s="41" t="s">
        <v>211</v>
      </c>
      <c r="G37" s="41">
        <v>78</v>
      </c>
    </row>
    <row r="38" spans="1:7" ht="15.5" x14ac:dyDescent="0.35">
      <c r="A38" s="41" t="s">
        <v>219</v>
      </c>
      <c r="B38" s="41" t="s">
        <v>211</v>
      </c>
      <c r="G38" s="41">
        <v>93</v>
      </c>
    </row>
    <row r="39" spans="1:7" ht="15.5" x14ac:dyDescent="0.35">
      <c r="A39" s="41" t="s">
        <v>220</v>
      </c>
      <c r="B39" s="41" t="s">
        <v>211</v>
      </c>
      <c r="G39" s="41">
        <v>93</v>
      </c>
    </row>
    <row r="40" spans="1:7" ht="15.5" x14ac:dyDescent="0.35">
      <c r="A40" s="41" t="s">
        <v>221</v>
      </c>
      <c r="B40" s="41" t="s">
        <v>211</v>
      </c>
      <c r="G40" s="41">
        <v>87</v>
      </c>
    </row>
    <row r="41" spans="1:7" ht="15.5" x14ac:dyDescent="0.35">
      <c r="A41" s="41" t="s">
        <v>110</v>
      </c>
      <c r="B41" s="41" t="s">
        <v>211</v>
      </c>
    </row>
    <row r="42" spans="1:7" ht="15.5" x14ac:dyDescent="0.35">
      <c r="A42" s="41" t="s">
        <v>222</v>
      </c>
      <c r="B42" s="41" t="s">
        <v>211</v>
      </c>
    </row>
    <row r="43" spans="1:7" ht="15.5" x14ac:dyDescent="0.35">
      <c r="A43" s="41" t="s">
        <v>223</v>
      </c>
      <c r="B43" s="41" t="s">
        <v>211</v>
      </c>
      <c r="G43" s="41">
        <v>79.5</v>
      </c>
    </row>
    <row r="44" spans="1:7" ht="15.5" x14ac:dyDescent="0.35">
      <c r="A44" s="41" t="s">
        <v>224</v>
      </c>
      <c r="B44" s="41" t="s">
        <v>211</v>
      </c>
      <c r="G44" s="41">
        <v>94</v>
      </c>
    </row>
    <row r="45" spans="1:7" ht="15.5" x14ac:dyDescent="0.35">
      <c r="A45" s="41" t="s">
        <v>225</v>
      </c>
      <c r="B45" s="41" t="s">
        <v>211</v>
      </c>
      <c r="G45" s="41">
        <v>88</v>
      </c>
    </row>
    <row r="46" spans="1:7" ht="15.5" x14ac:dyDescent="0.35">
      <c r="A46" s="41" t="s">
        <v>64</v>
      </c>
      <c r="B46" s="41" t="s">
        <v>211</v>
      </c>
      <c r="G46" s="41">
        <v>92.5</v>
      </c>
    </row>
    <row r="47" spans="1:7" ht="15.5" x14ac:dyDescent="0.35">
      <c r="A47" s="41" t="s">
        <v>112</v>
      </c>
      <c r="B47" s="41" t="s">
        <v>211</v>
      </c>
    </row>
    <row r="48" spans="1:7" ht="15.5" x14ac:dyDescent="0.35">
      <c r="A48" s="41" t="s">
        <v>147</v>
      </c>
      <c r="B48" s="41" t="s">
        <v>211</v>
      </c>
      <c r="G48" s="41">
        <v>100</v>
      </c>
    </row>
    <row r="49" spans="1:7" ht="15.5" x14ac:dyDescent="0.35">
      <c r="A49" s="41" t="s">
        <v>113</v>
      </c>
      <c r="B49" s="41" t="s">
        <v>211</v>
      </c>
    </row>
    <row r="50" spans="1:7" ht="15.5" x14ac:dyDescent="0.35">
      <c r="A50" s="41" t="s">
        <v>226</v>
      </c>
      <c r="B50" s="41" t="s">
        <v>211</v>
      </c>
    </row>
    <row r="51" spans="1:7" ht="15.5" x14ac:dyDescent="0.35">
      <c r="A51" s="41" t="s">
        <v>148</v>
      </c>
      <c r="B51" s="41" t="s">
        <v>211</v>
      </c>
      <c r="G51" s="41">
        <v>87</v>
      </c>
    </row>
    <row r="52" spans="1:7" ht="15.5" x14ac:dyDescent="0.35">
      <c r="A52" s="41" t="s">
        <v>68</v>
      </c>
      <c r="B52" s="41" t="s">
        <v>211</v>
      </c>
      <c r="G52" s="41">
        <v>92</v>
      </c>
    </row>
    <row r="53" spans="1:7" ht="15.5" x14ac:dyDescent="0.35">
      <c r="A53" s="41" t="s">
        <v>69</v>
      </c>
      <c r="B53" s="41" t="s">
        <v>211</v>
      </c>
    </row>
    <row r="54" spans="1:7" ht="15.5" x14ac:dyDescent="0.35">
      <c r="A54" s="41" t="s">
        <v>117</v>
      </c>
      <c r="B54" s="41" t="s">
        <v>211</v>
      </c>
      <c r="G54" s="41">
        <v>93</v>
      </c>
    </row>
    <row r="55" spans="1:7" ht="15.5" x14ac:dyDescent="0.35">
      <c r="A55" s="41" t="s">
        <v>227</v>
      </c>
      <c r="B55" s="41" t="s">
        <v>211</v>
      </c>
    </row>
    <row r="56" spans="1:7" ht="15.5" x14ac:dyDescent="0.35">
      <c r="A56" s="41" t="s">
        <v>228</v>
      </c>
      <c r="B56" s="41" t="s">
        <v>211</v>
      </c>
      <c r="G56" s="41">
        <v>98</v>
      </c>
    </row>
    <row r="57" spans="1:7" ht="15.5" x14ac:dyDescent="0.35">
      <c r="A57" s="41" t="s">
        <v>70</v>
      </c>
      <c r="B57" s="41" t="s">
        <v>211</v>
      </c>
      <c r="G57" s="41">
        <v>96</v>
      </c>
    </row>
    <row r="58" spans="1:7" ht="15.5" x14ac:dyDescent="0.35">
      <c r="A58" s="41" t="s">
        <v>120</v>
      </c>
      <c r="B58" s="41" t="s">
        <v>211</v>
      </c>
    </row>
    <row r="59" spans="1:7" ht="15.5" x14ac:dyDescent="0.35">
      <c r="A59" s="41" t="s">
        <v>150</v>
      </c>
      <c r="B59" s="41" t="s">
        <v>211</v>
      </c>
      <c r="G59" s="41">
        <v>0</v>
      </c>
    </row>
    <row r="60" spans="1:7" ht="15.5" x14ac:dyDescent="0.35">
      <c r="A60" s="41" t="s">
        <v>229</v>
      </c>
      <c r="B60" s="41" t="s">
        <v>211</v>
      </c>
    </row>
    <row r="61" spans="1:7" ht="15.5" x14ac:dyDescent="0.35">
      <c r="A61" s="41" t="s">
        <v>72</v>
      </c>
      <c r="B61" s="41" t="s">
        <v>211</v>
      </c>
      <c r="G61" s="41">
        <v>94</v>
      </c>
    </row>
    <row r="62" spans="1:7" ht="15.5" x14ac:dyDescent="0.35">
      <c r="A62" s="41" t="s">
        <v>230</v>
      </c>
      <c r="B62" s="41" t="s">
        <v>211</v>
      </c>
    </row>
    <row r="63" spans="1:7" ht="15.5" x14ac:dyDescent="0.35">
      <c r="A63" s="41" t="s">
        <v>179</v>
      </c>
      <c r="B63" s="41" t="s">
        <v>211</v>
      </c>
      <c r="G63" s="41">
        <v>77.5</v>
      </c>
    </row>
    <row r="64" spans="1:7" ht="15.5" x14ac:dyDescent="0.35">
      <c r="A64" s="41" t="s">
        <v>231</v>
      </c>
      <c r="B64" s="41" t="s">
        <v>211</v>
      </c>
      <c r="G64" s="41">
        <v>83</v>
      </c>
    </row>
    <row r="65" spans="1:7" ht="15.5" x14ac:dyDescent="0.35">
      <c r="A65" s="41" t="s">
        <v>125</v>
      </c>
      <c r="B65" s="41" t="s">
        <v>211</v>
      </c>
      <c r="G65" s="41">
        <v>92</v>
      </c>
    </row>
    <row r="66" spans="1:7" ht="15.5" x14ac:dyDescent="0.35">
      <c r="A66" s="41" t="s">
        <v>232</v>
      </c>
      <c r="B66" s="41" t="s">
        <v>211</v>
      </c>
      <c r="G66" s="41">
        <v>44</v>
      </c>
    </row>
    <row r="67" spans="1:7" ht="15.5" x14ac:dyDescent="0.35">
      <c r="A67" s="41" t="s">
        <v>233</v>
      </c>
      <c r="B67" s="41" t="s">
        <v>211</v>
      </c>
      <c r="G67" s="41">
        <v>90</v>
      </c>
    </row>
    <row r="68" spans="1:7" ht="15.5" x14ac:dyDescent="0.35">
      <c r="A68" s="41" t="s">
        <v>210</v>
      </c>
      <c r="B68" s="41" t="s">
        <v>211</v>
      </c>
      <c r="G68" s="41">
        <v>74</v>
      </c>
    </row>
    <row r="69" spans="1:7" ht="15.5" x14ac:dyDescent="0.35">
      <c r="A69" s="41" t="s">
        <v>234</v>
      </c>
      <c r="B69" s="41" t="s">
        <v>211</v>
      </c>
      <c r="G69" s="41">
        <v>79</v>
      </c>
    </row>
    <row r="70" spans="1:7" ht="15.5" x14ac:dyDescent="0.35">
      <c r="A70" s="41" t="s">
        <v>129</v>
      </c>
      <c r="B70" s="41" t="s">
        <v>211</v>
      </c>
      <c r="G70" s="41">
        <v>100</v>
      </c>
    </row>
    <row r="71" spans="1:7" ht="15.5" x14ac:dyDescent="0.35">
      <c r="A71" s="41" t="s">
        <v>130</v>
      </c>
      <c r="B71" s="41" t="s">
        <v>211</v>
      </c>
      <c r="G71" s="41">
        <v>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G16"/>
  <sheetViews>
    <sheetView workbookViewId="0">
      <selection activeCell="H1" sqref="H1:H1048576"/>
    </sheetView>
  </sheetViews>
  <sheetFormatPr defaultColWidth="10.07421875" defaultRowHeight="15" customHeight="1" x14ac:dyDescent="0.35"/>
  <cols>
    <col min="1" max="1" width="24.61328125" customWidth="1"/>
    <col min="2" max="2" width="6.3046875" customWidth="1"/>
    <col min="3" max="3" width="17.07421875" customWidth="1"/>
    <col min="4" max="4" width="8.69140625" customWidth="1"/>
    <col min="5" max="5" width="12.4609375" customWidth="1"/>
    <col min="6" max="6" width="12" customWidth="1"/>
    <col min="7" max="7" width="7.921875" customWidth="1"/>
  </cols>
  <sheetData>
    <row r="1" spans="1:7" ht="15" customHeight="1" x14ac:dyDescent="0.35">
      <c r="A1" s="46" t="s">
        <v>289</v>
      </c>
      <c r="B1" s="46" t="s">
        <v>290</v>
      </c>
      <c r="C1" s="46" t="s">
        <v>291</v>
      </c>
      <c r="D1" s="46" t="s">
        <v>292</v>
      </c>
      <c r="E1" s="46" t="s">
        <v>293</v>
      </c>
      <c r="F1" s="46" t="s">
        <v>294</v>
      </c>
      <c r="G1" s="46" t="s">
        <v>12</v>
      </c>
    </row>
    <row r="2" spans="1:7" ht="15" customHeight="1" x14ac:dyDescent="0.35">
      <c r="A2" s="41" t="s">
        <v>240</v>
      </c>
      <c r="B2" s="41" t="s">
        <v>295</v>
      </c>
      <c r="C2" s="41" t="s">
        <v>238</v>
      </c>
      <c r="E2" s="41">
        <v>40</v>
      </c>
      <c r="F2" s="41">
        <v>45</v>
      </c>
      <c r="G2" s="41">
        <v>85</v>
      </c>
    </row>
    <row r="3" spans="1:7" ht="15" customHeight="1" x14ac:dyDescent="0.35">
      <c r="A3" s="41" t="s">
        <v>241</v>
      </c>
      <c r="B3" s="41" t="s">
        <v>295</v>
      </c>
      <c r="C3" s="41" t="s">
        <v>242</v>
      </c>
      <c r="E3" s="41">
        <v>74</v>
      </c>
      <c r="G3" s="41">
        <v>37</v>
      </c>
    </row>
    <row r="4" spans="1:7" ht="15" customHeight="1" x14ac:dyDescent="0.35">
      <c r="A4" s="41" t="s">
        <v>243</v>
      </c>
      <c r="B4" s="41" t="s">
        <v>295</v>
      </c>
      <c r="C4" s="41" t="s">
        <v>239</v>
      </c>
      <c r="G4" s="41">
        <v>9</v>
      </c>
    </row>
    <row r="5" spans="1:7" ht="15" customHeight="1" x14ac:dyDescent="0.35">
      <c r="A5" s="41" t="s">
        <v>244</v>
      </c>
      <c r="B5" s="41" t="s">
        <v>295</v>
      </c>
      <c r="C5" s="41" t="s">
        <v>238</v>
      </c>
      <c r="E5" s="41">
        <v>30</v>
      </c>
      <c r="F5" s="41">
        <v>23</v>
      </c>
      <c r="G5" s="41">
        <v>53</v>
      </c>
    </row>
    <row r="6" spans="1:7" ht="15" customHeight="1" x14ac:dyDescent="0.35">
      <c r="A6" s="41" t="s">
        <v>245</v>
      </c>
      <c r="B6" s="41" t="s">
        <v>295</v>
      </c>
      <c r="C6" s="41" t="s">
        <v>238</v>
      </c>
    </row>
    <row r="7" spans="1:7" ht="15" customHeight="1" x14ac:dyDescent="0.35">
      <c r="A7" s="41" t="s">
        <v>246</v>
      </c>
      <c r="B7" s="41" t="s">
        <v>295</v>
      </c>
      <c r="C7" s="41" t="s">
        <v>238</v>
      </c>
    </row>
    <row r="8" spans="1:7" ht="15" customHeight="1" x14ac:dyDescent="0.35">
      <c r="A8" s="41" t="s">
        <v>247</v>
      </c>
      <c r="B8" s="41" t="s">
        <v>295</v>
      </c>
      <c r="C8" s="41" t="s">
        <v>242</v>
      </c>
      <c r="E8" s="41">
        <v>79</v>
      </c>
      <c r="G8" s="41">
        <v>39.5</v>
      </c>
    </row>
    <row r="9" spans="1:7" ht="15" customHeight="1" x14ac:dyDescent="0.35">
      <c r="A9" s="41" t="s">
        <v>248</v>
      </c>
      <c r="B9" s="41" t="s">
        <v>295</v>
      </c>
      <c r="C9" s="41" t="s">
        <v>238</v>
      </c>
    </row>
    <row r="10" spans="1:7" ht="15" customHeight="1" x14ac:dyDescent="0.35">
      <c r="A10" s="41" t="s">
        <v>249</v>
      </c>
      <c r="B10" s="41" t="s">
        <v>295</v>
      </c>
      <c r="C10" s="41" t="s">
        <v>238</v>
      </c>
      <c r="E10" s="41">
        <v>30</v>
      </c>
      <c r="F10" s="41">
        <v>40</v>
      </c>
      <c r="G10" s="41">
        <v>70</v>
      </c>
    </row>
    <row r="11" spans="1:7" ht="15" customHeight="1" x14ac:dyDescent="0.35">
      <c r="A11" s="41" t="s">
        <v>250</v>
      </c>
      <c r="B11" s="41" t="s">
        <v>295</v>
      </c>
      <c r="C11" s="41" t="s">
        <v>238</v>
      </c>
    </row>
    <row r="12" spans="1:7" ht="15" customHeight="1" x14ac:dyDescent="0.35">
      <c r="A12" s="41" t="s">
        <v>206</v>
      </c>
      <c r="B12" s="41" t="s">
        <v>295</v>
      </c>
      <c r="C12" s="41" t="s">
        <v>239</v>
      </c>
      <c r="G12" s="41">
        <v>9</v>
      </c>
    </row>
    <row r="13" spans="1:7" ht="15" customHeight="1" x14ac:dyDescent="0.35">
      <c r="A13" s="41" t="s">
        <v>251</v>
      </c>
      <c r="B13" s="41" t="s">
        <v>295</v>
      </c>
      <c r="C13" s="41" t="s">
        <v>238</v>
      </c>
    </row>
    <row r="14" spans="1:7" ht="15" customHeight="1" x14ac:dyDescent="0.35">
      <c r="A14" s="41" t="s">
        <v>120</v>
      </c>
      <c r="B14" s="41" t="s">
        <v>295</v>
      </c>
      <c r="C14" s="41" t="s">
        <v>238</v>
      </c>
      <c r="E14" s="41">
        <v>43</v>
      </c>
      <c r="F14" s="41">
        <v>45</v>
      </c>
      <c r="G14" s="41">
        <v>88</v>
      </c>
    </row>
    <row r="15" spans="1:7" ht="15" customHeight="1" x14ac:dyDescent="0.35">
      <c r="A15" s="41" t="s">
        <v>252</v>
      </c>
      <c r="B15" s="41" t="s">
        <v>295</v>
      </c>
      <c r="C15" s="41" t="s">
        <v>238</v>
      </c>
      <c r="E15" s="41">
        <v>40</v>
      </c>
      <c r="F15" s="41">
        <v>43</v>
      </c>
      <c r="G15" s="41">
        <v>83</v>
      </c>
    </row>
    <row r="16" spans="1:7" ht="15" customHeight="1" x14ac:dyDescent="0.35">
      <c r="A16" s="41" t="s">
        <v>253</v>
      </c>
      <c r="B16" s="41" t="s">
        <v>295</v>
      </c>
      <c r="C16" s="41" t="s">
        <v>242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G11"/>
  <sheetViews>
    <sheetView workbookViewId="0">
      <selection activeCell="H1" sqref="H1:H1048576"/>
    </sheetView>
  </sheetViews>
  <sheetFormatPr defaultColWidth="10.07421875" defaultRowHeight="15" customHeight="1" x14ac:dyDescent="0.35"/>
  <cols>
    <col min="1" max="1" width="25.61328125" customWidth="1"/>
    <col min="2" max="2" width="6.3046875" customWidth="1"/>
    <col min="3" max="3" width="17.07421875" customWidth="1"/>
    <col min="4" max="4" width="8.69140625" customWidth="1"/>
    <col min="5" max="5" width="12.4609375" customWidth="1"/>
    <col min="6" max="6" width="12" customWidth="1"/>
    <col min="7" max="7" width="7.921875" customWidth="1"/>
  </cols>
  <sheetData>
    <row r="1" spans="1:7" ht="15" customHeight="1" x14ac:dyDescent="0.35">
      <c r="A1" s="46" t="s">
        <v>289</v>
      </c>
      <c r="B1" s="46" t="s">
        <v>290</v>
      </c>
      <c r="C1" s="46" t="s">
        <v>291</v>
      </c>
      <c r="D1" s="46" t="s">
        <v>292</v>
      </c>
      <c r="E1" s="46" t="s">
        <v>293</v>
      </c>
      <c r="F1" s="46" t="s">
        <v>294</v>
      </c>
      <c r="G1" s="46" t="s">
        <v>12</v>
      </c>
    </row>
    <row r="2" spans="1:7" ht="15" customHeight="1" x14ac:dyDescent="0.35">
      <c r="A2" s="41" t="s">
        <v>257</v>
      </c>
      <c r="B2" s="41" t="s">
        <v>255</v>
      </c>
      <c r="C2" s="41" t="s">
        <v>255</v>
      </c>
      <c r="D2" s="41">
        <v>50</v>
      </c>
      <c r="E2" s="41">
        <v>14</v>
      </c>
      <c r="F2" s="41">
        <v>18</v>
      </c>
      <c r="G2" s="41">
        <v>82</v>
      </c>
    </row>
    <row r="3" spans="1:7" ht="15" customHeight="1" x14ac:dyDescent="0.35">
      <c r="A3" s="41" t="s">
        <v>259</v>
      </c>
      <c r="B3" s="41" t="s">
        <v>255</v>
      </c>
      <c r="C3" s="41" t="s">
        <v>255</v>
      </c>
      <c r="D3" s="41">
        <v>39</v>
      </c>
      <c r="E3" s="41">
        <v>9</v>
      </c>
      <c r="F3" s="41">
        <v>12</v>
      </c>
      <c r="G3" s="41">
        <v>60</v>
      </c>
    </row>
    <row r="4" spans="1:7" ht="15" customHeight="1" x14ac:dyDescent="0.35">
      <c r="A4" s="41" t="s">
        <v>83</v>
      </c>
      <c r="B4" s="41" t="s">
        <v>255</v>
      </c>
      <c r="C4" s="41" t="s">
        <v>255</v>
      </c>
      <c r="D4" s="41">
        <v>45</v>
      </c>
      <c r="E4" s="41">
        <v>13</v>
      </c>
      <c r="F4" s="41">
        <v>18</v>
      </c>
      <c r="G4" s="41">
        <v>76</v>
      </c>
    </row>
    <row r="5" spans="1:7" ht="15" customHeight="1" x14ac:dyDescent="0.35">
      <c r="A5" s="41" t="s">
        <v>258</v>
      </c>
      <c r="B5" s="41" t="s">
        <v>256</v>
      </c>
      <c r="C5" s="41" t="s">
        <v>256</v>
      </c>
      <c r="D5" s="41">
        <v>51</v>
      </c>
      <c r="E5" s="41">
        <v>20</v>
      </c>
      <c r="F5" s="41">
        <v>20</v>
      </c>
      <c r="G5" s="41">
        <v>91</v>
      </c>
    </row>
    <row r="6" spans="1:7" ht="15" customHeight="1" x14ac:dyDescent="0.35">
      <c r="A6" s="41" t="s">
        <v>260</v>
      </c>
      <c r="B6" s="41" t="s">
        <v>256</v>
      </c>
      <c r="C6" s="41" t="s">
        <v>256</v>
      </c>
      <c r="D6" s="41">
        <v>59</v>
      </c>
      <c r="E6" s="41">
        <v>20</v>
      </c>
      <c r="F6" s="41">
        <v>20</v>
      </c>
      <c r="G6" s="41">
        <v>99</v>
      </c>
    </row>
    <row r="7" spans="1:7" ht="15" customHeight="1" x14ac:dyDescent="0.35">
      <c r="A7" s="41" t="s">
        <v>261</v>
      </c>
      <c r="B7" s="41" t="s">
        <v>256</v>
      </c>
      <c r="C7" s="41" t="s">
        <v>256</v>
      </c>
      <c r="D7" s="41">
        <v>60</v>
      </c>
      <c r="E7" s="41">
        <v>10</v>
      </c>
      <c r="F7" s="41">
        <v>10</v>
      </c>
      <c r="G7" s="41">
        <v>80</v>
      </c>
    </row>
    <row r="8" spans="1:7" ht="15" customHeight="1" x14ac:dyDescent="0.35">
      <c r="A8" s="41" t="s">
        <v>262</v>
      </c>
      <c r="B8" s="41" t="s">
        <v>256</v>
      </c>
      <c r="C8" s="41" t="s">
        <v>256</v>
      </c>
      <c r="D8" s="41">
        <v>51</v>
      </c>
      <c r="E8" s="41">
        <v>20</v>
      </c>
      <c r="F8" s="41">
        <v>19</v>
      </c>
      <c r="G8" s="41">
        <v>90</v>
      </c>
    </row>
    <row r="9" spans="1:7" ht="15" customHeight="1" x14ac:dyDescent="0.35">
      <c r="A9" s="41" t="s">
        <v>263</v>
      </c>
      <c r="B9" s="41" t="s">
        <v>256</v>
      </c>
      <c r="C9" s="41" t="s">
        <v>256</v>
      </c>
      <c r="D9" s="41">
        <v>60</v>
      </c>
      <c r="E9" s="41">
        <v>10</v>
      </c>
      <c r="F9" s="41">
        <v>10</v>
      </c>
      <c r="G9" s="41">
        <v>80</v>
      </c>
    </row>
    <row r="10" spans="1:7" ht="15" customHeight="1" x14ac:dyDescent="0.35">
      <c r="A10" s="41" t="s">
        <v>264</v>
      </c>
      <c r="B10" s="41" t="s">
        <v>256</v>
      </c>
      <c r="C10" s="41" t="s">
        <v>256</v>
      </c>
      <c r="D10" s="41">
        <v>58</v>
      </c>
      <c r="E10" s="41">
        <v>20</v>
      </c>
      <c r="F10" s="41">
        <v>19</v>
      </c>
      <c r="G10" s="41">
        <v>97</v>
      </c>
    </row>
    <row r="11" spans="1:7" ht="15" customHeight="1" x14ac:dyDescent="0.35">
      <c r="A11" s="41" t="s">
        <v>265</v>
      </c>
      <c r="B11" s="41" t="s">
        <v>256</v>
      </c>
      <c r="C11" s="41" t="s">
        <v>256</v>
      </c>
      <c r="D11" s="41">
        <v>51</v>
      </c>
      <c r="E11" s="41">
        <v>20</v>
      </c>
      <c r="F11" s="41">
        <v>20</v>
      </c>
      <c r="G11" s="41">
        <v>91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G31"/>
  <sheetViews>
    <sheetView workbookViewId="0">
      <selection activeCell="H1" sqref="H1:H1048576"/>
    </sheetView>
  </sheetViews>
  <sheetFormatPr defaultColWidth="10.07421875" defaultRowHeight="15" customHeight="1" x14ac:dyDescent="0.35"/>
  <cols>
    <col min="1" max="1" width="24.3828125" customWidth="1"/>
    <col min="2" max="2" width="13.23046875" customWidth="1"/>
    <col min="3" max="3" width="17.07421875" customWidth="1"/>
    <col min="4" max="4" width="8.69140625" customWidth="1"/>
    <col min="5" max="5" width="12.4609375" customWidth="1"/>
    <col min="6" max="6" width="12" customWidth="1"/>
    <col min="7" max="7" width="7.921875" customWidth="1"/>
  </cols>
  <sheetData>
    <row r="1" spans="1:7" ht="15" customHeight="1" x14ac:dyDescent="0.35">
      <c r="A1" s="46" t="s">
        <v>289</v>
      </c>
      <c r="B1" s="46" t="s">
        <v>290</v>
      </c>
      <c r="C1" s="46" t="s">
        <v>291</v>
      </c>
      <c r="D1" s="46" t="s">
        <v>292</v>
      </c>
      <c r="E1" s="46" t="s">
        <v>293</v>
      </c>
      <c r="F1" s="46" t="s">
        <v>294</v>
      </c>
      <c r="G1" s="46" t="s">
        <v>12</v>
      </c>
    </row>
    <row r="2" spans="1:7" ht="15" customHeight="1" x14ac:dyDescent="0.35">
      <c r="A2" s="41" t="s">
        <v>158</v>
      </c>
      <c r="B2" s="41" t="s">
        <v>155</v>
      </c>
      <c r="C2" s="41">
        <v>1</v>
      </c>
      <c r="G2" s="41">
        <v>0</v>
      </c>
    </row>
    <row r="3" spans="1:7" ht="15" customHeight="1" x14ac:dyDescent="0.35">
      <c r="A3" s="41" t="s">
        <v>159</v>
      </c>
      <c r="B3" s="41" t="s">
        <v>155</v>
      </c>
      <c r="C3" s="41">
        <v>1</v>
      </c>
      <c r="G3" s="41">
        <v>70</v>
      </c>
    </row>
    <row r="4" spans="1:7" ht="15" customHeight="1" x14ac:dyDescent="0.35">
      <c r="A4" s="41" t="s">
        <v>160</v>
      </c>
      <c r="B4" s="41" t="s">
        <v>155</v>
      </c>
      <c r="C4" s="41">
        <v>1</v>
      </c>
      <c r="G4" s="41">
        <v>40</v>
      </c>
    </row>
    <row r="5" spans="1:7" ht="15" customHeight="1" x14ac:dyDescent="0.35">
      <c r="A5" s="41" t="s">
        <v>161</v>
      </c>
      <c r="B5" s="41" t="s">
        <v>155</v>
      </c>
      <c r="C5" s="41">
        <v>1</v>
      </c>
      <c r="G5" s="41">
        <v>60</v>
      </c>
    </row>
    <row r="6" spans="1:7" ht="15" customHeight="1" x14ac:dyDescent="0.35">
      <c r="A6" s="41" t="s">
        <v>162</v>
      </c>
      <c r="B6" s="41" t="s">
        <v>155</v>
      </c>
      <c r="C6" s="41">
        <v>1</v>
      </c>
      <c r="G6" s="41">
        <v>0</v>
      </c>
    </row>
    <row r="7" spans="1:7" ht="15" customHeight="1" x14ac:dyDescent="0.35">
      <c r="A7" s="41" t="s">
        <v>163</v>
      </c>
      <c r="B7" s="41" t="s">
        <v>155</v>
      </c>
      <c r="C7" s="41">
        <v>1</v>
      </c>
      <c r="G7" s="41">
        <v>0</v>
      </c>
    </row>
    <row r="8" spans="1:7" ht="15" customHeight="1" x14ac:dyDescent="0.35">
      <c r="A8" s="41" t="s">
        <v>164</v>
      </c>
      <c r="B8" s="41" t="s">
        <v>155</v>
      </c>
      <c r="C8" s="41">
        <v>1</v>
      </c>
      <c r="G8" s="41">
        <v>0</v>
      </c>
    </row>
    <row r="9" spans="1:7" ht="15" customHeight="1" x14ac:dyDescent="0.35">
      <c r="A9" s="41" t="s">
        <v>165</v>
      </c>
      <c r="B9" s="41" t="s">
        <v>155</v>
      </c>
      <c r="C9" s="41">
        <v>1</v>
      </c>
      <c r="G9" s="41">
        <v>90</v>
      </c>
    </row>
    <row r="10" spans="1:7" ht="15" customHeight="1" x14ac:dyDescent="0.35">
      <c r="A10" s="41" t="s">
        <v>169</v>
      </c>
      <c r="B10" s="41" t="s">
        <v>155</v>
      </c>
      <c r="C10" s="41">
        <v>1</v>
      </c>
      <c r="G10" s="41">
        <v>75</v>
      </c>
    </row>
    <row r="11" spans="1:7" ht="15" customHeight="1" x14ac:dyDescent="0.35">
      <c r="A11" s="41" t="s">
        <v>172</v>
      </c>
      <c r="B11" s="41" t="s">
        <v>155</v>
      </c>
      <c r="C11" s="41">
        <v>1</v>
      </c>
      <c r="G11" s="41">
        <v>95</v>
      </c>
    </row>
    <row r="12" spans="1:7" ht="15" customHeight="1" x14ac:dyDescent="0.35">
      <c r="A12" s="41" t="s">
        <v>173</v>
      </c>
      <c r="B12" s="41" t="s">
        <v>155</v>
      </c>
      <c r="C12" s="41">
        <v>1</v>
      </c>
      <c r="G12" s="41">
        <v>70</v>
      </c>
    </row>
    <row r="13" spans="1:7" ht="15" customHeight="1" x14ac:dyDescent="0.35">
      <c r="A13" s="41" t="s">
        <v>174</v>
      </c>
      <c r="B13" s="41" t="s">
        <v>155</v>
      </c>
      <c r="C13" s="41">
        <v>1</v>
      </c>
      <c r="G13" s="41">
        <v>93</v>
      </c>
    </row>
    <row r="14" spans="1:7" ht="15" customHeight="1" x14ac:dyDescent="0.35">
      <c r="A14" s="41" t="s">
        <v>175</v>
      </c>
      <c r="B14" s="41" t="s">
        <v>155</v>
      </c>
      <c r="C14" s="41">
        <v>1</v>
      </c>
      <c r="G14" s="41">
        <v>0</v>
      </c>
    </row>
    <row r="15" spans="1:7" ht="15" customHeight="1" x14ac:dyDescent="0.35">
      <c r="A15" s="41" t="s">
        <v>182</v>
      </c>
      <c r="B15" s="41" t="s">
        <v>155</v>
      </c>
      <c r="C15" s="41">
        <v>1</v>
      </c>
      <c r="G15" s="41">
        <v>60</v>
      </c>
    </row>
    <row r="16" spans="1:7" ht="15" customHeight="1" x14ac:dyDescent="0.35">
      <c r="A16" s="41" t="s">
        <v>167</v>
      </c>
      <c r="B16" s="41" t="s">
        <v>156</v>
      </c>
      <c r="C16" s="41">
        <v>2</v>
      </c>
      <c r="G16" s="41">
        <v>87</v>
      </c>
    </row>
    <row r="17" spans="1:7" ht="15" customHeight="1" x14ac:dyDescent="0.35">
      <c r="A17" s="41" t="s">
        <v>170</v>
      </c>
      <c r="B17" s="41" t="s">
        <v>156</v>
      </c>
      <c r="C17" s="41">
        <v>2</v>
      </c>
      <c r="G17" s="41">
        <v>66</v>
      </c>
    </row>
    <row r="18" spans="1:7" ht="15" customHeight="1" x14ac:dyDescent="0.35">
      <c r="A18" s="41" t="s">
        <v>171</v>
      </c>
      <c r="B18" s="41" t="s">
        <v>156</v>
      </c>
      <c r="C18" s="41">
        <v>2</v>
      </c>
      <c r="G18" s="41">
        <v>80</v>
      </c>
    </row>
    <row r="19" spans="1:7" ht="15.5" x14ac:dyDescent="0.35">
      <c r="A19" s="41" t="s">
        <v>176</v>
      </c>
      <c r="B19" s="41" t="s">
        <v>156</v>
      </c>
      <c r="C19" s="41">
        <v>2</v>
      </c>
      <c r="G19" s="41">
        <v>68</v>
      </c>
    </row>
    <row r="20" spans="1:7" ht="15.5" x14ac:dyDescent="0.35">
      <c r="A20" s="41" t="s">
        <v>179</v>
      </c>
      <c r="B20" s="41" t="s">
        <v>156</v>
      </c>
      <c r="C20" s="41">
        <v>2</v>
      </c>
      <c r="G20" s="41">
        <v>47</v>
      </c>
    </row>
    <row r="21" spans="1:7" ht="15.5" x14ac:dyDescent="0.35">
      <c r="A21" s="41" t="s">
        <v>180</v>
      </c>
      <c r="B21" s="41" t="s">
        <v>156</v>
      </c>
      <c r="C21" s="41">
        <v>2</v>
      </c>
      <c r="G21" s="41">
        <v>60</v>
      </c>
    </row>
    <row r="22" spans="1:7" ht="15.5" x14ac:dyDescent="0.35">
      <c r="A22" s="41" t="s">
        <v>166</v>
      </c>
      <c r="B22" s="41" t="s">
        <v>9</v>
      </c>
      <c r="C22" s="41" t="s">
        <v>41</v>
      </c>
      <c r="D22" s="41">
        <v>31</v>
      </c>
      <c r="F22" s="41">
        <v>0</v>
      </c>
      <c r="G22" s="41">
        <v>31</v>
      </c>
    </row>
    <row r="23" spans="1:7" ht="15.5" x14ac:dyDescent="0.35">
      <c r="A23" s="41" t="s">
        <v>168</v>
      </c>
      <c r="B23" s="41" t="s">
        <v>9</v>
      </c>
      <c r="C23" s="41" t="s">
        <v>41</v>
      </c>
      <c r="D23" s="41">
        <v>46</v>
      </c>
      <c r="F23" s="41">
        <v>31</v>
      </c>
      <c r="G23" s="41">
        <v>77</v>
      </c>
    </row>
    <row r="24" spans="1:7" ht="15.5" x14ac:dyDescent="0.35">
      <c r="A24" s="41" t="s">
        <v>177</v>
      </c>
      <c r="B24" s="41" t="s">
        <v>9</v>
      </c>
      <c r="C24" s="41" t="s">
        <v>41</v>
      </c>
      <c r="D24" s="41">
        <v>38</v>
      </c>
      <c r="F24" s="41">
        <v>35</v>
      </c>
      <c r="G24" s="41">
        <v>73</v>
      </c>
    </row>
    <row r="25" spans="1:7" ht="15.5" x14ac:dyDescent="0.35">
      <c r="A25" s="41" t="s">
        <v>178</v>
      </c>
      <c r="B25" s="41" t="s">
        <v>9</v>
      </c>
      <c r="C25" s="41" t="s">
        <v>41</v>
      </c>
      <c r="D25" s="41">
        <v>0</v>
      </c>
      <c r="F25" s="41">
        <v>0</v>
      </c>
      <c r="G25" s="41">
        <v>0</v>
      </c>
    </row>
    <row r="26" spans="1:7" ht="15.5" x14ac:dyDescent="0.35">
      <c r="A26" s="41" t="s">
        <v>181</v>
      </c>
      <c r="B26" s="41" t="s">
        <v>9</v>
      </c>
      <c r="C26" s="41" t="s">
        <v>41</v>
      </c>
      <c r="D26" s="41">
        <v>45</v>
      </c>
      <c r="F26" s="41">
        <v>25</v>
      </c>
      <c r="G26" s="41">
        <v>70</v>
      </c>
    </row>
    <row r="27" spans="1:7" ht="15.5" x14ac:dyDescent="0.35">
      <c r="A27" s="41" t="s">
        <v>166</v>
      </c>
      <c r="B27" s="41" t="s">
        <v>157</v>
      </c>
      <c r="C27" s="41" t="s">
        <v>41</v>
      </c>
      <c r="G27" s="41">
        <v>60</v>
      </c>
    </row>
    <row r="28" spans="1:7" ht="15.5" x14ac:dyDescent="0.35">
      <c r="A28" s="41" t="s">
        <v>168</v>
      </c>
      <c r="B28" s="41" t="s">
        <v>157</v>
      </c>
      <c r="C28" s="41" t="s">
        <v>41</v>
      </c>
      <c r="G28" s="41">
        <v>60</v>
      </c>
    </row>
    <row r="29" spans="1:7" ht="15.5" x14ac:dyDescent="0.35">
      <c r="A29" s="41" t="s">
        <v>177</v>
      </c>
      <c r="B29" s="41" t="s">
        <v>157</v>
      </c>
      <c r="C29" s="41" t="s">
        <v>41</v>
      </c>
      <c r="G29" s="41">
        <v>60</v>
      </c>
    </row>
    <row r="30" spans="1:7" ht="15.5" x14ac:dyDescent="0.35">
      <c r="A30" s="41" t="s">
        <v>178</v>
      </c>
      <c r="B30" s="41" t="s">
        <v>157</v>
      </c>
      <c r="C30" s="41" t="s">
        <v>41</v>
      </c>
      <c r="G30" s="41">
        <v>70</v>
      </c>
    </row>
    <row r="31" spans="1:7" ht="15.5" x14ac:dyDescent="0.35">
      <c r="A31" s="41" t="s">
        <v>181</v>
      </c>
      <c r="B31" s="41" t="s">
        <v>157</v>
      </c>
      <c r="C31" s="41" t="s">
        <v>41</v>
      </c>
      <c r="G31" s="41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VM</vt:lpstr>
      <vt:lpstr>VIO</vt:lpstr>
      <vt:lpstr>Consolidado</vt:lpstr>
      <vt:lpstr>TablaConsolidado</vt:lpstr>
      <vt:lpstr>CURSOSXESTUDIANTES</vt:lpstr>
      <vt:lpstr>Canto</vt:lpstr>
      <vt:lpstr>Piano</vt:lpstr>
      <vt:lpstr>Guitarra</vt:lpstr>
      <vt:lpstr>Bajo</vt:lpstr>
      <vt:lpstr>Sonido</vt:lpstr>
      <vt:lpstr>Danza</vt:lpstr>
      <vt:lpstr>Emociones</vt:lpstr>
      <vt:lpstr>Idiomas</vt:lpstr>
      <vt:lpstr>Deportes</vt:lpstr>
      <vt:lpstr>Batería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Sergio Daniel Martinez Gonzalez</cp:lastModifiedBy>
  <dcterms:modified xsi:type="dcterms:W3CDTF">2026-07-03T14:42:17Z</dcterms:modified>
</cp:coreProperties>
</file>